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Data anlysis\Nutrition Tracking\"/>
    </mc:Choice>
  </mc:AlternateContent>
  <xr:revisionPtr revIDLastSave="0" documentId="13_ncr:1_{D46873A9-FCED-4F40-B38E-F6B554E19326}" xr6:coauthVersionLast="47" xr6:coauthVersionMax="47" xr10:uidLastSave="{00000000-0000-0000-0000-000000000000}"/>
  <bookViews>
    <workbookView xWindow="0" yWindow="0" windowWidth="28800" windowHeight="15600" activeTab="1" xr2:uid="{B23E0BC1-B1A0-4504-8B73-EA53AFACE5AE}"/>
  </bookViews>
  <sheets>
    <sheet name="Food_Master" sheetId="3" r:id="rId1"/>
    <sheet name="Jan-2026" sheetId="1" r:id="rId2"/>
    <sheet name="Feb-2026" sheetId="5" r:id="rId3"/>
    <sheet name="Mar-2026" sheetId="6" r:id="rId4"/>
    <sheet name="Apr-2026" sheetId="7" r:id="rId5"/>
    <sheet name="Food_Reference" sheetId="2" state="hidden" r:id="rId6"/>
  </sheets>
  <definedNames>
    <definedName name="Breakfast">Food_Reference!$L$3:$M$7</definedName>
    <definedName name="Calories">Food_Reference!$M$3:$M$7</definedName>
    <definedName name="Dosa_1">Food_Reference!$L$7:$M$7</definedName>
    <definedName name="Idly_2">Food_Reference!$L$5:$M$5</definedName>
    <definedName name="Oats___2eggs">Food_Reference!$L$3:$M$3</definedName>
    <definedName name="Portion__g">Food_Reference!$L$3:$L$7</definedName>
    <definedName name="Upma__cooked">Food_Reference!$L$4:$M$4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" l="1"/>
  <c r="V5" i="1"/>
  <c r="V6" i="1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" i="5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" i="6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" i="5"/>
  <c r="B3" i="7"/>
  <c r="B20" i="7"/>
  <c r="B6" i="7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" i="6"/>
  <c r="B5" i="7"/>
  <c r="B4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J33" i="7" a="1"/>
  <c r="J33" i="7" s="1"/>
  <c r="H33" i="7" s="1"/>
  <c r="A33" i="7"/>
  <c r="J32" i="7" a="1"/>
  <c r="J32" i="7" s="1"/>
  <c r="H32" i="7" s="1"/>
  <c r="A32" i="7"/>
  <c r="J31" i="7" a="1"/>
  <c r="J31" i="7" s="1"/>
  <c r="H31" i="7" s="1"/>
  <c r="A31" i="7"/>
  <c r="J30" i="7" a="1"/>
  <c r="J30" i="7" s="1"/>
  <c r="H30" i="7" s="1"/>
  <c r="A30" i="7"/>
  <c r="J29" i="7" a="1"/>
  <c r="J29" i="7" s="1"/>
  <c r="H29" i="7" s="1"/>
  <c r="A29" i="7"/>
  <c r="J28" i="7" a="1"/>
  <c r="J28" i="7" s="1"/>
  <c r="H28" i="7" s="1"/>
  <c r="A28" i="7"/>
  <c r="J27" i="7" a="1"/>
  <c r="J27" i="7" s="1"/>
  <c r="H27" i="7" s="1"/>
  <c r="A27" i="7"/>
  <c r="J26" i="7" a="1"/>
  <c r="J26" i="7" s="1"/>
  <c r="H26" i="7" s="1"/>
  <c r="A26" i="7"/>
  <c r="J25" i="7" a="1"/>
  <c r="J25" i="7" s="1"/>
  <c r="H25" i="7" s="1"/>
  <c r="A25" i="7"/>
  <c r="J24" i="7" a="1"/>
  <c r="J24" i="7" s="1"/>
  <c r="A24" i="7"/>
  <c r="J23" i="7" a="1"/>
  <c r="J23" i="7" s="1"/>
  <c r="H23" i="7" s="1"/>
  <c r="A23" i="7"/>
  <c r="J22" i="7" a="1"/>
  <c r="J22" i="7" s="1"/>
  <c r="H22" i="7" s="1"/>
  <c r="A22" i="7"/>
  <c r="J21" i="7" a="1"/>
  <c r="J21" i="7" s="1"/>
  <c r="H21" i="7" s="1"/>
  <c r="A21" i="7"/>
  <c r="J20" i="7" a="1"/>
  <c r="J20" i="7" s="1"/>
  <c r="H20" i="7" s="1"/>
  <c r="A20" i="7"/>
  <c r="J19" i="7" a="1"/>
  <c r="J19" i="7" s="1"/>
  <c r="H19" i="7" s="1"/>
  <c r="A19" i="7"/>
  <c r="J18" i="7" a="1"/>
  <c r="J18" i="7" s="1"/>
  <c r="H18" i="7" s="1"/>
  <c r="A18" i="7"/>
  <c r="J17" i="7" a="1"/>
  <c r="J17" i="7" s="1"/>
  <c r="H17" i="7" s="1"/>
  <c r="A17" i="7"/>
  <c r="J16" i="7" a="1"/>
  <c r="J16" i="7" s="1"/>
  <c r="H16" i="7" s="1"/>
  <c r="A16" i="7"/>
  <c r="J15" i="7" a="1"/>
  <c r="J15" i="7" s="1"/>
  <c r="H15" i="7" s="1"/>
  <c r="A15" i="7"/>
  <c r="J14" i="7" a="1"/>
  <c r="J14" i="7" s="1"/>
  <c r="H14" i="7" s="1"/>
  <c r="A14" i="7"/>
  <c r="J13" i="7" a="1"/>
  <c r="J13" i="7" s="1"/>
  <c r="H13" i="7" s="1"/>
  <c r="A13" i="7"/>
  <c r="H12" i="7"/>
  <c r="A12" i="7"/>
  <c r="J11" i="7" a="1"/>
  <c r="J11" i="7" s="1"/>
  <c r="H11" i="7" s="1"/>
  <c r="A11" i="7"/>
  <c r="J10" i="7" a="1"/>
  <c r="J10" i="7" s="1"/>
  <c r="A10" i="7"/>
  <c r="J9" i="7" a="1"/>
  <c r="J9" i="7" s="1"/>
  <c r="A9" i="7"/>
  <c r="J8" i="7" a="1"/>
  <c r="J8" i="7" s="1"/>
  <c r="H8" i="7" s="1"/>
  <c r="A8" i="7"/>
  <c r="J7" i="7" a="1"/>
  <c r="J7" i="7" s="1"/>
  <c r="H7" i="7" s="1"/>
  <c r="A7" i="7"/>
  <c r="S6" i="7"/>
  <c r="J6" i="7" a="1"/>
  <c r="J6" i="7" s="1"/>
  <c r="H6" i="7" s="1"/>
  <c r="A6" i="7"/>
  <c r="S5" i="7"/>
  <c r="J5" i="7" a="1"/>
  <c r="J5" i="7" s="1"/>
  <c r="H5" i="7" s="1"/>
  <c r="A5" i="7"/>
  <c r="S4" i="7"/>
  <c r="J4" i="7" a="1"/>
  <c r="J4" i="7" s="1"/>
  <c r="H4" i="7" s="1"/>
  <c r="A4" i="7"/>
  <c r="S3" i="7"/>
  <c r="J3" i="7" a="1"/>
  <c r="J3" i="7" s="1"/>
  <c r="A3" i="7"/>
  <c r="J4" i="6" a="1"/>
  <c r="J4" i="6" s="1"/>
  <c r="H4" i="6" s="1"/>
  <c r="J5" i="6" a="1"/>
  <c r="J5" i="6" s="1"/>
  <c r="H5" i="6" s="1"/>
  <c r="J6" i="6" a="1"/>
  <c r="J6" i="6" s="1"/>
  <c r="H6" i="6" s="1"/>
  <c r="J7" i="6" a="1"/>
  <c r="J7" i="6" s="1"/>
  <c r="H7" i="6" s="1"/>
  <c r="J8" i="6" a="1"/>
  <c r="J8" i="6" s="1"/>
  <c r="H8" i="6" s="1"/>
  <c r="J9" i="6" a="1"/>
  <c r="J9" i="6" s="1"/>
  <c r="J10" i="6" a="1"/>
  <c r="J10" i="6" s="1"/>
  <c r="J11" i="6" a="1"/>
  <c r="J11" i="6" s="1"/>
  <c r="H11" i="6" s="1"/>
  <c r="H12" i="6"/>
  <c r="J13" i="6" a="1"/>
  <c r="J13" i="6" s="1"/>
  <c r="H13" i="6" s="1"/>
  <c r="J14" i="6" a="1"/>
  <c r="J14" i="6" s="1"/>
  <c r="H14" i="6" s="1"/>
  <c r="J15" i="6" a="1"/>
  <c r="J15" i="6" s="1"/>
  <c r="H15" i="6" s="1"/>
  <c r="J16" i="6" a="1"/>
  <c r="J16" i="6" s="1"/>
  <c r="H16" i="6" s="1"/>
  <c r="J17" i="6" a="1"/>
  <c r="J17" i="6" s="1"/>
  <c r="J18" i="6" a="1"/>
  <c r="J18" i="6" s="1"/>
  <c r="H18" i="6" s="1"/>
  <c r="J19" i="6" a="1"/>
  <c r="J19" i="6" s="1"/>
  <c r="H19" i="6" s="1"/>
  <c r="J20" i="6" a="1"/>
  <c r="J20" i="6" s="1"/>
  <c r="H20" i="6" s="1"/>
  <c r="J21" i="6" a="1"/>
  <c r="J21" i="6" s="1"/>
  <c r="H21" i="6" s="1"/>
  <c r="J22" i="6" a="1"/>
  <c r="J22" i="6" s="1"/>
  <c r="H22" i="6" s="1"/>
  <c r="J23" i="6" a="1"/>
  <c r="J23" i="6" s="1"/>
  <c r="H23" i="6" s="1"/>
  <c r="J24" i="6" a="1"/>
  <c r="J24" i="6" s="1"/>
  <c r="J25" i="6" a="1"/>
  <c r="J25" i="6" s="1"/>
  <c r="H25" i="6" s="1"/>
  <c r="J26" i="6" a="1"/>
  <c r="J26" i="6" s="1"/>
  <c r="H26" i="6" s="1"/>
  <c r="J27" i="6" a="1"/>
  <c r="J27" i="6" s="1"/>
  <c r="H27" i="6" s="1"/>
  <c r="J28" i="6" a="1"/>
  <c r="J28" i="6" s="1"/>
  <c r="H28" i="6" s="1"/>
  <c r="J29" i="6" a="1"/>
  <c r="J29" i="6" s="1"/>
  <c r="H29" i="6" s="1"/>
  <c r="J30" i="6" a="1"/>
  <c r="J30" i="6" s="1"/>
  <c r="H30" i="6" s="1"/>
  <c r="J31" i="6" a="1"/>
  <c r="J31" i="6" s="1"/>
  <c r="H31" i="6" s="1"/>
  <c r="J32" i="6" a="1"/>
  <c r="J32" i="6" s="1"/>
  <c r="H32" i="6" s="1"/>
  <c r="J33" i="6" a="1"/>
  <c r="J33" i="6"/>
  <c r="H33" i="6" s="1"/>
  <c r="J3" i="6" a="1"/>
  <c r="J3" i="6" s="1"/>
  <c r="J6" i="5" a="1"/>
  <c r="J6" i="5" s="1"/>
  <c r="H6" i="5" s="1"/>
  <c r="J7" i="5" a="1"/>
  <c r="J7" i="5"/>
  <c r="H7" i="5" s="1"/>
  <c r="J8" i="5" a="1"/>
  <c r="J8" i="5" s="1"/>
  <c r="H8" i="5" s="1"/>
  <c r="J9" i="5" a="1"/>
  <c r="J9" i="5" s="1"/>
  <c r="J10" i="5" a="1"/>
  <c r="J10" i="5" s="1"/>
  <c r="J11" i="5" a="1"/>
  <c r="J11" i="5" s="1"/>
  <c r="H11" i="5" s="1"/>
  <c r="J12" i="5" a="1"/>
  <c r="J12" i="5" s="1"/>
  <c r="H12" i="5" s="1"/>
  <c r="J13" i="5" a="1"/>
  <c r="J13" i="5" s="1"/>
  <c r="H13" i="5" s="1"/>
  <c r="J14" i="5" a="1"/>
  <c r="J14" i="5" s="1"/>
  <c r="H14" i="5" s="1"/>
  <c r="J15" i="5" a="1"/>
  <c r="J15" i="5" s="1"/>
  <c r="H15" i="5" s="1"/>
  <c r="J16" i="5" a="1"/>
  <c r="J16" i="5" s="1"/>
  <c r="H16" i="5" s="1"/>
  <c r="J17" i="5" a="1"/>
  <c r="J17" i="5" s="1"/>
  <c r="H17" i="5" s="1"/>
  <c r="J18" i="5" a="1"/>
  <c r="J18" i="5" s="1"/>
  <c r="H18" i="5" s="1"/>
  <c r="J19" i="5" a="1"/>
  <c r="J19" i="5" s="1"/>
  <c r="H19" i="5" s="1"/>
  <c r="J20" i="5" a="1"/>
  <c r="J20" i="5" s="1"/>
  <c r="H20" i="5" s="1"/>
  <c r="J21" i="5" a="1"/>
  <c r="J21" i="5" s="1"/>
  <c r="H21" i="5" s="1"/>
  <c r="J22" i="5" a="1"/>
  <c r="J22" i="5" s="1"/>
  <c r="H22" i="5" s="1"/>
  <c r="J23" i="5" a="1"/>
  <c r="J23" i="5" s="1"/>
  <c r="H23" i="5" s="1"/>
  <c r="J24" i="5" a="1"/>
  <c r="J24" i="5" s="1"/>
  <c r="H24" i="5" s="1"/>
  <c r="J25" i="5" a="1"/>
  <c r="J25" i="5" s="1"/>
  <c r="H25" i="5" s="1"/>
  <c r="J26" i="5" a="1"/>
  <c r="J26" i="5" s="1"/>
  <c r="H26" i="5" s="1"/>
  <c r="J27" i="5" a="1"/>
  <c r="J27" i="5" s="1"/>
  <c r="H27" i="5" s="1"/>
  <c r="J28" i="5" a="1"/>
  <c r="J28" i="5" s="1"/>
  <c r="H28" i="5" s="1"/>
  <c r="J29" i="5" a="1"/>
  <c r="J29" i="5" s="1"/>
  <c r="H29" i="5" s="1"/>
  <c r="J5" i="5" a="1"/>
  <c r="J5" i="5" s="1"/>
  <c r="H5" i="5" s="1"/>
  <c r="J4" i="5" a="1"/>
  <c r="J4" i="5" s="1"/>
  <c r="H4" i="5" s="1"/>
  <c r="J3" i="5" a="1"/>
  <c r="J3" i="5" s="1"/>
  <c r="J3" i="1" a="1"/>
  <c r="J3" i="1" s="1"/>
  <c r="H3" i="1" s="1"/>
  <c r="J4" i="1" a="1"/>
  <c r="J4" i="1" s="1"/>
  <c r="H4" i="1" s="1"/>
  <c r="J5" i="1" a="1"/>
  <c r="J5" i="1" s="1"/>
  <c r="H5" i="1" s="1"/>
  <c r="J6" i="1" a="1"/>
  <c r="J6" i="1" s="1"/>
  <c r="H6" i="1" s="1"/>
  <c r="J7" i="1" a="1"/>
  <c r="J7" i="1" s="1"/>
  <c r="H7" i="1" s="1"/>
  <c r="J8" i="1" a="1"/>
  <c r="J8" i="1" s="1"/>
  <c r="H8" i="1" s="1"/>
  <c r="J9" i="1" a="1"/>
  <c r="J9" i="1" s="1"/>
  <c r="H9" i="1" s="1"/>
  <c r="J10" i="1" a="1"/>
  <c r="J10" i="1" s="1"/>
  <c r="H10" i="1" s="1"/>
  <c r="J11" i="1" a="1"/>
  <c r="J11" i="1" s="1"/>
  <c r="H11" i="1" s="1"/>
  <c r="J12" i="1" a="1"/>
  <c r="J12" i="1" s="1"/>
  <c r="H12" i="1" s="1"/>
  <c r="J13" i="1" a="1"/>
  <c r="J13" i="1" s="1"/>
  <c r="H13" i="1" s="1"/>
  <c r="J14" i="1" a="1"/>
  <c r="J14" i="1" s="1"/>
  <c r="H14" i="1" s="1"/>
  <c r="J15" i="1" a="1"/>
  <c r="J15" i="1" s="1"/>
  <c r="H15" i="1" s="1"/>
  <c r="J16" i="1" a="1"/>
  <c r="J16" i="1" s="1"/>
  <c r="H16" i="1" s="1"/>
  <c r="J17" i="1" a="1"/>
  <c r="J17" i="1" s="1"/>
  <c r="H17" i="1" s="1"/>
  <c r="J18" i="1" a="1"/>
  <c r="J18" i="1" s="1"/>
  <c r="H18" i="1" s="1"/>
  <c r="J19" i="1" a="1"/>
  <c r="J19" i="1" s="1"/>
  <c r="J20" i="1" a="1"/>
  <c r="J20" i="1" s="1"/>
  <c r="H20" i="1" s="1"/>
  <c r="J21" i="1" a="1"/>
  <c r="J21" i="1" s="1"/>
  <c r="H21" i="1" s="1"/>
  <c r="J22" i="1" a="1"/>
  <c r="J22" i="1" s="1"/>
  <c r="H22" i="1" s="1"/>
  <c r="J23" i="1" a="1"/>
  <c r="J23" i="1" s="1"/>
  <c r="H23" i="1" s="1"/>
  <c r="J24" i="1" a="1"/>
  <c r="J24" i="1" s="1"/>
  <c r="J25" i="1" a="1"/>
  <c r="J25" i="1" s="1"/>
  <c r="H25" i="1" s="1"/>
  <c r="J26" i="1" a="1"/>
  <c r="J26" i="1" s="1"/>
  <c r="H26" i="1" s="1"/>
  <c r="J27" i="1" a="1"/>
  <c r="J27" i="1" s="1"/>
  <c r="H27" i="1" s="1"/>
  <c r="J28" i="1" a="1"/>
  <c r="J28" i="1" s="1"/>
  <c r="H28" i="1" s="1"/>
  <c r="J29" i="1" a="1"/>
  <c r="J29" i="1" s="1"/>
  <c r="H29" i="1" s="1"/>
  <c r="J30" i="1" a="1"/>
  <c r="J30" i="1" s="1"/>
  <c r="H30" i="1" s="1"/>
  <c r="J31" i="1" a="1"/>
  <c r="J31" i="1" s="1"/>
  <c r="H31" i="1" s="1"/>
  <c r="J32" i="1" a="1"/>
  <c r="J32" i="1" s="1"/>
  <c r="H32" i="1" s="1"/>
  <c r="J33" i="1" a="1"/>
  <c r="J33" i="1" s="1"/>
  <c r="H33" i="1" s="1"/>
  <c r="A30" i="6"/>
  <c r="A31" i="6"/>
  <c r="A32" i="6"/>
  <c r="A33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S6" i="6"/>
  <c r="A6" i="6"/>
  <c r="S5" i="6"/>
  <c r="A5" i="6"/>
  <c r="S4" i="6"/>
  <c r="A4" i="6"/>
  <c r="S3" i="6"/>
  <c r="A3" i="6"/>
  <c r="S3" i="5"/>
  <c r="S3" i="1"/>
  <c r="S4" i="1"/>
  <c r="S5" i="1"/>
  <c r="S6" i="1"/>
  <c r="A30" i="1"/>
  <c r="L30" i="1" s="1"/>
  <c r="A31" i="1"/>
  <c r="L31" i="1" s="1"/>
  <c r="A32" i="1"/>
  <c r="L32" i="1" s="1"/>
  <c r="A33" i="1"/>
  <c r="L33" i="1" s="1"/>
  <c r="A6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S6" i="5"/>
  <c r="S5" i="5"/>
  <c r="A5" i="5"/>
  <c r="S4" i="5"/>
  <c r="A4" i="5"/>
  <c r="A3" i="5"/>
  <c r="A4" i="1"/>
  <c r="L4" i="1" s="1"/>
  <c r="A5" i="1"/>
  <c r="L5" i="1" s="1"/>
  <c r="A6" i="1"/>
  <c r="L6" i="1" s="1"/>
  <c r="A7" i="1"/>
  <c r="L7" i="1" s="1"/>
  <c r="A8" i="1"/>
  <c r="L8" i="1" s="1"/>
  <c r="A9" i="1"/>
  <c r="L9" i="1" s="1"/>
  <c r="A10" i="1"/>
  <c r="L10" i="1" s="1"/>
  <c r="A11" i="1"/>
  <c r="L11" i="1" s="1"/>
  <c r="A12" i="1"/>
  <c r="L12" i="1" s="1"/>
  <c r="A13" i="1"/>
  <c r="L13" i="1" s="1"/>
  <c r="A14" i="1"/>
  <c r="L14" i="1" s="1"/>
  <c r="A15" i="1"/>
  <c r="L15" i="1" s="1"/>
  <c r="A16" i="1"/>
  <c r="L16" i="1" s="1"/>
  <c r="A17" i="1"/>
  <c r="L17" i="1" s="1"/>
  <c r="A18" i="1"/>
  <c r="L18" i="1" s="1"/>
  <c r="A19" i="1"/>
  <c r="L19" i="1" s="1"/>
  <c r="A20" i="1"/>
  <c r="L20" i="1" s="1"/>
  <c r="A21" i="1"/>
  <c r="L21" i="1" s="1"/>
  <c r="A22" i="1"/>
  <c r="L22" i="1" s="1"/>
  <c r="A23" i="1"/>
  <c r="L23" i="1" s="1"/>
  <c r="A24" i="1"/>
  <c r="L24" i="1" s="1"/>
  <c r="A25" i="1"/>
  <c r="L25" i="1" s="1"/>
  <c r="A26" i="1"/>
  <c r="L26" i="1" s="1"/>
  <c r="A27" i="1"/>
  <c r="L27" i="1" s="1"/>
  <c r="A28" i="1"/>
  <c r="L28" i="1" s="1"/>
  <c r="A29" i="1"/>
  <c r="L29" i="1" s="1"/>
  <c r="A3" i="1"/>
  <c r="L3" i="1" s="1"/>
  <c r="B31" i="1" l="1"/>
  <c r="B27" i="1"/>
  <c r="B23" i="1"/>
  <c r="B19" i="1"/>
  <c r="B15" i="1"/>
  <c r="B11" i="1"/>
  <c r="B7" i="1"/>
  <c r="B3" i="1"/>
  <c r="B30" i="1"/>
  <c r="B26" i="1"/>
  <c r="B22" i="1"/>
  <c r="B18" i="1"/>
  <c r="B14" i="1"/>
  <c r="B10" i="1"/>
  <c r="B6" i="1"/>
  <c r="B33" i="1"/>
  <c r="B29" i="1"/>
  <c r="B25" i="1"/>
  <c r="B21" i="1"/>
  <c r="B17" i="1"/>
  <c r="B13" i="1"/>
  <c r="B9" i="1"/>
  <c r="B5" i="1"/>
  <c r="B32" i="1"/>
  <c r="B28" i="1"/>
  <c r="B24" i="1"/>
  <c r="B20" i="1"/>
  <c r="B16" i="1"/>
  <c r="B12" i="1"/>
  <c r="B8" i="1"/>
  <c r="B4" i="1"/>
  <c r="H10" i="7"/>
  <c r="V4" i="7"/>
  <c r="P4" i="7"/>
  <c r="H9" i="7"/>
  <c r="P3" i="7"/>
  <c r="V6" i="7"/>
  <c r="H24" i="7"/>
  <c r="P6" i="7"/>
  <c r="P5" i="7"/>
  <c r="V5" i="7"/>
  <c r="H3" i="7"/>
  <c r="V3" i="7"/>
  <c r="U3" i="7" a="1"/>
  <c r="U3" i="7" s="1"/>
  <c r="O3" i="7" a="1"/>
  <c r="O3" i="7" s="1"/>
  <c r="P4" i="6"/>
  <c r="O3" i="6" a="1"/>
  <c r="O3" i="6" s="1"/>
  <c r="P3" i="6"/>
  <c r="H9" i="6"/>
  <c r="V5" i="6"/>
  <c r="P5" i="6"/>
  <c r="H17" i="6"/>
  <c r="V3" i="6"/>
  <c r="H3" i="6"/>
  <c r="R3" i="6" a="1"/>
  <c r="R3" i="6" s="1"/>
  <c r="P6" i="6"/>
  <c r="V4" i="6"/>
  <c r="V6" i="6"/>
  <c r="U3" i="6" a="1"/>
  <c r="U3" i="6" s="1"/>
  <c r="H10" i="6"/>
  <c r="H24" i="6"/>
  <c r="O3" i="1" a="1"/>
  <c r="O3" i="1" s="1"/>
  <c r="P6" i="1"/>
  <c r="P5" i="1"/>
  <c r="H24" i="1"/>
  <c r="H19" i="1"/>
  <c r="R3" i="5" a="1"/>
  <c r="R3" i="5" s="1"/>
  <c r="P3" i="5"/>
  <c r="P4" i="5"/>
  <c r="H10" i="5"/>
  <c r="H9" i="5"/>
  <c r="V4" i="5"/>
  <c r="P6" i="5"/>
  <c r="V6" i="5"/>
  <c r="H3" i="5"/>
  <c r="V3" i="5"/>
  <c r="P5" i="5"/>
  <c r="V5" i="5"/>
  <c r="P4" i="1"/>
  <c r="U3" i="1" a="1"/>
  <c r="U3" i="1" s="1"/>
  <c r="R3" i="1" a="1"/>
  <c r="R3" i="1" s="1"/>
  <c r="P3" i="1"/>
  <c r="V3" i="1"/>
  <c r="R3" i="7" l="1" a="1"/>
  <c r="R3" i="7" s="1"/>
  <c r="O3" i="5" a="1"/>
  <c r="O3" i="5" s="1"/>
  <c r="U3" i="5" a="1"/>
  <c r="U3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<sst xmlns="http://schemas.openxmlformats.org/spreadsheetml/2006/main" count="314" uniqueCount="142">
  <si>
    <t>Day</t>
  </si>
  <si>
    <t>Breakfast</t>
  </si>
  <si>
    <t>Lunch</t>
  </si>
  <si>
    <t>Snack</t>
  </si>
  <si>
    <t>Dinner</t>
  </si>
  <si>
    <t>Calories_OK</t>
  </si>
  <si>
    <t>Steps_8k</t>
  </si>
  <si>
    <t>Portion (g)</t>
  </si>
  <si>
    <t>Calories</t>
  </si>
  <si>
    <t>40g</t>
  </si>
  <si>
    <t>Oats + 2eggs</t>
  </si>
  <si>
    <t>150g</t>
  </si>
  <si>
    <t>Upma (cooked)</t>
  </si>
  <si>
    <t>100g</t>
  </si>
  <si>
    <t>Breakfast Table</t>
  </si>
  <si>
    <t>Lunch Table</t>
  </si>
  <si>
    <t>Chicken</t>
  </si>
  <si>
    <t>120g</t>
  </si>
  <si>
    <t>Fish/Seafood</t>
  </si>
  <si>
    <t>Paneer</t>
  </si>
  <si>
    <t>Rice</t>
  </si>
  <si>
    <t>Veggies</t>
  </si>
  <si>
    <t>Evening Snack</t>
  </si>
  <si>
    <t>Fruit</t>
  </si>
  <si>
    <t>Nuts</t>
  </si>
  <si>
    <t>Chana</t>
  </si>
  <si>
    <t>Digestive biscuit</t>
  </si>
  <si>
    <t>1b</t>
  </si>
  <si>
    <t>Dinner Table</t>
  </si>
  <si>
    <t>Ragi malt</t>
  </si>
  <si>
    <t>25g</t>
  </si>
  <si>
    <t>Daily Total</t>
  </si>
  <si>
    <t>Protein</t>
  </si>
  <si>
    <t>100 - 110g</t>
  </si>
  <si>
    <t>1500 - 1600 kcal</t>
  </si>
  <si>
    <t xml:space="preserve">Fiber </t>
  </si>
  <si>
    <t>high</t>
  </si>
  <si>
    <t>Dosa 1 + Chutney</t>
  </si>
  <si>
    <t>Idly 2 + Chutney</t>
  </si>
  <si>
    <t>Protein powder</t>
  </si>
  <si>
    <t>30g</t>
  </si>
  <si>
    <t>Food</t>
  </si>
  <si>
    <t>60g + 15g</t>
  </si>
  <si>
    <t>100g + 15g</t>
  </si>
  <si>
    <t>2eggs</t>
  </si>
  <si>
    <t>10g</t>
  </si>
  <si>
    <t>Oats</t>
  </si>
  <si>
    <t>No</t>
  </si>
  <si>
    <t>Curd</t>
  </si>
  <si>
    <t>Avg KCal / week</t>
  </si>
  <si>
    <t>Date</t>
  </si>
  <si>
    <t>Oil</t>
  </si>
  <si>
    <t>Sugar</t>
  </si>
  <si>
    <t>200ml</t>
  </si>
  <si>
    <t>Tea (m/s)</t>
  </si>
  <si>
    <t>Chegodi</t>
  </si>
  <si>
    <t>Ghee</t>
  </si>
  <si>
    <t>10ml</t>
  </si>
  <si>
    <t>Chana (boiled)</t>
  </si>
  <si>
    <t>EG</t>
  </si>
  <si>
    <t>OA</t>
  </si>
  <si>
    <t>GH</t>
  </si>
  <si>
    <t>UP</t>
  </si>
  <si>
    <t>ID</t>
  </si>
  <si>
    <t>FR</t>
  </si>
  <si>
    <t>CH</t>
  </si>
  <si>
    <t>OI</t>
  </si>
  <si>
    <t>SU</t>
  </si>
  <si>
    <t>VG</t>
  </si>
  <si>
    <t>NT</t>
  </si>
  <si>
    <t>PN</t>
  </si>
  <si>
    <t>RC</t>
  </si>
  <si>
    <t>D1</t>
  </si>
  <si>
    <t>PP</t>
  </si>
  <si>
    <t>DB</t>
  </si>
  <si>
    <t>FP</t>
  </si>
  <si>
    <t>RM</t>
  </si>
  <si>
    <t>YO</t>
  </si>
  <si>
    <t>TM</t>
  </si>
  <si>
    <t>CG</t>
  </si>
  <si>
    <t>Code</t>
  </si>
  <si>
    <t>Egg</t>
  </si>
  <si>
    <t>CB</t>
  </si>
  <si>
    <t>Fritters</t>
  </si>
  <si>
    <t>FT</t>
  </si>
  <si>
    <t>D1,DB</t>
  </si>
  <si>
    <t>UP, VG</t>
  </si>
  <si>
    <t>CB, CG, TM</t>
  </si>
  <si>
    <t>RC, YO, EG, RC</t>
  </si>
  <si>
    <t>CG, TM, DB</t>
  </si>
  <si>
    <t>BR</t>
  </si>
  <si>
    <t>Biryani</t>
  </si>
  <si>
    <t>400g</t>
  </si>
  <si>
    <t>RC, RC, CH, YO, EG</t>
  </si>
  <si>
    <t>PA</t>
  </si>
  <si>
    <t>Pesarattu</t>
  </si>
  <si>
    <t>PA, VG</t>
  </si>
  <si>
    <t>CG, CG, CG</t>
  </si>
  <si>
    <t>CP</t>
  </si>
  <si>
    <t>Chapathi</t>
  </si>
  <si>
    <t>TC</t>
  </si>
  <si>
    <t>Tomato Curry</t>
  </si>
  <si>
    <t>CP, EG, TC</t>
  </si>
  <si>
    <t>TM, CB</t>
  </si>
  <si>
    <t>ID, GH, VG</t>
  </si>
  <si>
    <t>Weigh-in</t>
  </si>
  <si>
    <t>Consistency score</t>
  </si>
  <si>
    <t>Avg Weight / week</t>
  </si>
  <si>
    <t>FT, FT</t>
  </si>
  <si>
    <t>Nothing</t>
  </si>
  <si>
    <t>N</t>
  </si>
  <si>
    <t>Yes</t>
  </si>
  <si>
    <t>KCal/day</t>
  </si>
  <si>
    <t>CB, TM,DB</t>
  </si>
  <si>
    <t>CH, EG, TC</t>
  </si>
  <si>
    <t>Week</t>
  </si>
  <si>
    <t>Month Start Date</t>
  </si>
  <si>
    <t>CH, EG</t>
  </si>
  <si>
    <t>UP, VG, ID</t>
  </si>
  <si>
    <t>RC, CH, RC,YO, VG</t>
  </si>
  <si>
    <t>TM, TM, DB</t>
  </si>
  <si>
    <t>Pizza</t>
  </si>
  <si>
    <t>PZ</t>
  </si>
  <si>
    <t>Shawarma</t>
  </si>
  <si>
    <t>1 regular</t>
  </si>
  <si>
    <t>4 slices</t>
  </si>
  <si>
    <t>SW</t>
  </si>
  <si>
    <t>TM, CG</t>
  </si>
  <si>
    <t>ID, CG</t>
  </si>
  <si>
    <t>Dal</t>
  </si>
  <si>
    <t>DL</t>
  </si>
  <si>
    <t>100gm</t>
  </si>
  <si>
    <t>RC, RC, DL, GH</t>
  </si>
  <si>
    <t>Sweet potato</t>
  </si>
  <si>
    <t>SP</t>
  </si>
  <si>
    <t>Sweet Corn</t>
  </si>
  <si>
    <t>50gm</t>
  </si>
  <si>
    <t>SC</t>
  </si>
  <si>
    <t>TM, SC, SP</t>
  </si>
  <si>
    <t>ID, ID</t>
  </si>
  <si>
    <t>RC, CH,VG,GH</t>
  </si>
  <si>
    <t>ID, CG,GH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</si>
</sst>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\/mm\/yyyy"/>
    <numFmt numFmtId="165" formatCode="0.0"/>
  </numFmts>
  <fonts count="13" x14ac:knownFonts="1">
    <font>
      <sz val="11"/>
      <color theme="1"/>
      <name val="Calibri"/>
      <family val="2"/>
      <scheme val="minor"/>
    </font>
    <font>
      <b/>
      <sz val="16"/>
      <color theme="1"/>
      <name val="Aharoni"/>
      <charset val="177"/>
    </font>
    <font>
      <sz val="11"/>
      <color theme="1"/>
      <name val="Bahnschrift"/>
      <family val="2"/>
    </font>
    <font>
      <sz val="16"/>
      <color theme="1"/>
      <name val="Aharoni"/>
      <charset val="177"/>
    </font>
    <font>
      <sz val="11"/>
      <color theme="1"/>
      <name val="Consolas"/>
      <family val="3"/>
    </font>
    <font>
      <sz val="8"/>
      <name val="Calibri"/>
      <family val="2"/>
      <scheme val="minor"/>
    </font>
    <font>
      <sz val="18"/>
      <color theme="1"/>
      <name val="Aharoni"/>
      <charset val="177"/>
    </font>
    <font>
      <sz val="12"/>
      <color theme="1"/>
      <name val="Aharoni"/>
      <charset val="177"/>
    </font>
    <font>
      <b/>
      <sz val="11"/>
      <color theme="1"/>
      <name val="Calibri"/>
      <family val="2"/>
      <scheme val="minor"/>
    </font>
    <font>
      <b/>
      <sz val="20"/>
      <color theme="5"/>
      <name val="Aharoni"/>
      <charset val="177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5"/>
      <name val="Aharoni"/>
      <charset val="177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8B8BF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4" fillId="3" borderId="6" xfId="0" applyFont="1" applyFill="1" applyBorder="1" applyAlignment="1">
      <alignment horizontal="center" wrapText="1"/>
    </xf>
    <xf numFmtId="0" fontId="0" fillId="3" borderId="6" xfId="0" applyFill="1" applyBorder="1" applyAlignment="1">
      <alignment horizont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wrapText="1"/>
    </xf>
    <xf numFmtId="0" fontId="3" fillId="3" borderId="9" xfId="0" applyFont="1" applyFill="1" applyBorder="1" applyAlignment="1">
      <alignment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3" borderId="2" xfId="0" applyFill="1" applyBorder="1" applyAlignment="1">
      <alignment horizontal="center" vertical="center" wrapText="1"/>
    </xf>
    <xf numFmtId="0" fontId="4" fillId="4" borderId="6" xfId="0" applyFont="1" applyFill="1" applyBorder="1"/>
    <xf numFmtId="0" fontId="0" fillId="4" borderId="6" xfId="0" applyFill="1" applyBorder="1"/>
    <xf numFmtId="0" fontId="0" fillId="4" borderId="5" xfId="0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0" fillId="4" borderId="12" xfId="0" applyFill="1" applyBorder="1"/>
    <xf numFmtId="0" fontId="0" fillId="4" borderId="2" xfId="0" applyFill="1" applyBorder="1" applyAlignment="1">
      <alignment horizontal="center"/>
    </xf>
    <xf numFmtId="0" fontId="0" fillId="4" borderId="13" xfId="0" applyFill="1" applyBorder="1" applyAlignment="1">
      <alignment horizontal="center" vertical="center"/>
    </xf>
    <xf numFmtId="0" fontId="4" fillId="2" borderId="6" xfId="0" applyFont="1" applyFill="1" applyBorder="1"/>
    <xf numFmtId="0" fontId="0" fillId="2" borderId="6" xfId="0" applyFill="1" applyBorder="1"/>
    <xf numFmtId="0" fontId="0" fillId="2" borderId="5" xfId="0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0" fillId="2" borderId="12" xfId="0" applyFill="1" applyBorder="1"/>
    <xf numFmtId="0" fontId="0" fillId="2" borderId="2" xfId="0" applyFill="1" applyBorder="1" applyAlignment="1">
      <alignment horizontal="center"/>
    </xf>
    <xf numFmtId="0" fontId="0" fillId="2" borderId="13" xfId="0" applyFill="1" applyBorder="1" applyAlignment="1">
      <alignment horizontal="center" vertical="center"/>
    </xf>
    <xf numFmtId="0" fontId="4" fillId="5" borderId="6" xfId="0" applyFont="1" applyFill="1" applyBorder="1"/>
    <xf numFmtId="0" fontId="0" fillId="5" borderId="12" xfId="0" applyFill="1" applyBorder="1"/>
    <xf numFmtId="0" fontId="0" fillId="5" borderId="5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3" fillId="5" borderId="9" xfId="0" applyFont="1" applyFill="1" applyBorder="1" applyAlignment="1">
      <alignment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/>
    <xf numFmtId="1" fontId="2" fillId="8" borderId="0" xfId="0" applyNumberFormat="1" applyFont="1" applyFill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8" borderId="14" xfId="0" applyFont="1" applyFill="1" applyBorder="1" applyAlignment="1">
      <alignment wrapText="1"/>
    </xf>
    <xf numFmtId="0" fontId="7" fillId="8" borderId="14" xfId="0" applyFont="1" applyFill="1" applyBorder="1" applyAlignment="1">
      <alignment vertical="center"/>
    </xf>
    <xf numFmtId="0" fontId="11" fillId="8" borderId="14" xfId="0" applyFont="1" applyFill="1" applyBorder="1" applyAlignment="1">
      <alignment vertical="center" wrapText="1"/>
    </xf>
    <xf numFmtId="0" fontId="11" fillId="8" borderId="14" xfId="0" applyFont="1" applyFill="1" applyBorder="1" applyAlignment="1">
      <alignment vertical="center"/>
    </xf>
    <xf numFmtId="0" fontId="10" fillId="8" borderId="14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center" vertical="center"/>
    </xf>
    <xf numFmtId="165" fontId="0" fillId="8" borderId="0" xfId="0" applyNumberFormat="1" applyFill="1" applyAlignment="1">
      <alignment horizontal="center" vertical="center"/>
    </xf>
    <xf numFmtId="10" fontId="0" fillId="8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4" fontId="9" fillId="0" borderId="0" xfId="0" applyNumberFormat="1" applyFont="1" applyAlignment="1">
      <alignment vertical="center"/>
    </xf>
    <xf numFmtId="0" fontId="10" fillId="8" borderId="14" xfId="0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42">
    <dxf>
      <fill>
        <patternFill>
          <bgColor theme="0" tint="-4.9989318521683403E-2"/>
        </patternFill>
      </fill>
      <border>
        <left/>
        <right/>
        <top/>
        <bottom/>
      </border>
    </dxf>
    <dxf>
      <fill>
        <patternFill>
          <bgColor theme="0" tint="-4.9989318521683403E-2"/>
        </patternFill>
      </fill>
      <border>
        <left/>
        <right/>
        <top/>
        <bottom/>
      </border>
    </dxf>
    <dxf>
      <fill>
        <patternFill>
          <bgColor theme="0" tint="-4.9989318521683403E-2"/>
        </patternFill>
      </fill>
      <border>
        <left/>
        <right/>
        <top/>
        <bottom/>
      </border>
    </dxf>
    <dxf>
      <fill>
        <patternFill>
          <bgColor theme="0" tint="-4.9989318521683403E-2"/>
        </patternFill>
      </fill>
      <border>
        <left/>
        <right/>
        <top/>
        <bottom/>
      </border>
    </dxf>
    <dxf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599993896298104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haroni"/>
        <charset val="177"/>
        <scheme val="none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599993896298104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haroni"/>
        <charset val="177"/>
        <scheme val="none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5999938962981048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59999389629810485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theme="4" tint="0.39997558519241921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haroni"/>
        <charset val="177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haroni"/>
        <charset val="177"/>
        <scheme val="none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1" indent="0" justifyLastLine="0" shrinkToFit="0" readingOrder="0"/>
    </dxf>
    <dxf>
      <font>
        <b/>
        <i/>
        <strike val="0"/>
      </font>
    </dxf>
    <dxf>
      <font>
        <b val="0"/>
        <i val="0"/>
      </font>
    </dxf>
  </dxfs>
  <tableStyles count="1" defaultTableStyle="TableStyleMedium2" defaultPivotStyle="PivotStyleLight16">
    <tableStyle name="Table Style 1" pivot="0" count="2" xr9:uid="{823CE3BA-B044-49BC-8052-05A5A20D6E9C}">
      <tableStyleElement type="wholeTable" dxfId="41"/>
      <tableStyleElement type="firstColumnStripe" dxfId="40"/>
    </tableStyle>
  </tableStyles>
  <colors>
    <mruColors>
      <color rgb="FFFF4343"/>
      <color rgb="FFFF5050"/>
      <color rgb="FFA0A0FA"/>
      <color rgb="FF8B8BF9"/>
      <color rgb="FF6E6E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Progress by weight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numRef>
              <c:f>'Jan-2026'!$A$3:$A$29</c:f>
              <c:numCache>
                <c:formatCode>dd\/mm\/yyyy</c:formatCode>
                <c:ptCount val="27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</c:numCache>
            </c:numRef>
          </c:cat>
          <c:val>
            <c:numRef>
              <c:f>'Jan-2026'!$K$3:$K$29</c:f>
              <c:numCache>
                <c:formatCode>General</c:formatCode>
                <c:ptCount val="27"/>
                <c:pt idx="0">
                  <c:v>87</c:v>
                </c:pt>
                <c:pt idx="1">
                  <c:v>87</c:v>
                </c:pt>
                <c:pt idx="2">
                  <c:v>87</c:v>
                </c:pt>
                <c:pt idx="3">
                  <c:v>86.5</c:v>
                </c:pt>
                <c:pt idx="4">
                  <c:v>87</c:v>
                </c:pt>
                <c:pt idx="5">
                  <c:v>87</c:v>
                </c:pt>
                <c:pt idx="6">
                  <c:v>86</c:v>
                </c:pt>
                <c:pt idx="7">
                  <c:v>86.5</c:v>
                </c:pt>
                <c:pt idx="8">
                  <c:v>86.5</c:v>
                </c:pt>
                <c:pt idx="9">
                  <c:v>86.5</c:v>
                </c:pt>
                <c:pt idx="10">
                  <c:v>86.5</c:v>
                </c:pt>
                <c:pt idx="11">
                  <c:v>86.5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39E8-42E3-9AA7-D4EA8636B9EE}"/>
            </c:ext>
          </c:extLst>
        </c:ser>
        <c:ser>
          <c:idx val="3"/>
          <c:order val="2"/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cat>
            <c:numRef>
              <c:f>'Jan-2026'!$A$3:$A$29</c:f>
              <c:numCache>
                <c:formatCode>dd\/mm\/yyyy</c:formatCode>
                <c:ptCount val="27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</c:numCache>
            </c:numRef>
          </c:cat>
          <c:val>
            <c:numRef>
              <c:f>Monthly_Tracker!#REF!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39E8-42E3-9AA7-D4EA8636B9EE}"/>
            </c:ext>
          </c:extLst>
        </c:ser>
        <c:ser>
          <c:idx val="4"/>
          <c:order val="3"/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cat>
            <c:numRef>
              <c:f>'Jan-2026'!$A$3:$A$29</c:f>
              <c:numCache>
                <c:formatCode>dd\/mm\/yyyy</c:formatCode>
                <c:ptCount val="27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</c:numCache>
            </c:numRef>
          </c:cat>
          <c:val>
            <c:numRef>
              <c:f>Monthly_Tracker!#REF!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39E8-42E3-9AA7-D4EA8636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5595903"/>
        <c:axId val="150560454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2225" cap="rnd">
                    <a:solidFill>
                      <a:schemeClr val="accent1"/>
                    </a:solidFill>
                  </a:ln>
                  <a:effectLst>
                    <a:glow rad="139700">
                      <a:schemeClr val="accent1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1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'Jan-2026'!$A$3:$A$29</c15:sqref>
                        </c15:formulaRef>
                      </c:ext>
                    </c:extLst>
                    <c:numCache>
                      <c:formatCode>dd\/mm\/yyyy</c:formatCode>
                      <c:ptCount val="27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'Jan-2026'!$J$3:$J$29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1623</c:v>
                      </c:pt>
                      <c:pt idx="1">
                        <c:v>1323</c:v>
                      </c:pt>
                      <c:pt idx="2">
                        <c:v>1075</c:v>
                      </c:pt>
                      <c:pt idx="3">
                        <c:v>1380</c:v>
                      </c:pt>
                      <c:pt idx="4">
                        <c:v>1413</c:v>
                      </c:pt>
                      <c:pt idx="5">
                        <c:v>1713</c:v>
                      </c:pt>
                      <c:pt idx="6">
                        <c:v>1075</c:v>
                      </c:pt>
                      <c:pt idx="7">
                        <c:v>1440</c:v>
                      </c:pt>
                      <c:pt idx="8">
                        <c:v>1298</c:v>
                      </c:pt>
                      <c:pt idx="9">
                        <c:v>1560</c:v>
                      </c:pt>
                      <c:pt idx="10">
                        <c:v>1395</c:v>
                      </c:pt>
                      <c:pt idx="11">
                        <c:v>855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</c:numCache>
                  </c:numRef>
                </c:val>
                <c:smooth val="0"/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0-39E8-42E3-9AA7-D4EA8636B9EE}"/>
                  </c:ext>
                </c:extLst>
              </c15:ser>
            </c15:filteredLineSeries>
            <c15:filteredLineSeries>
              <c15:ser>
                <c:idx val="5"/>
                <c:order val="4"/>
                <c:spPr>
                  <a:ln w="22225" cap="rnd">
                    <a:solidFill>
                      <a:schemeClr val="accent6"/>
                    </a:solidFill>
                  </a:ln>
                  <a:effectLst>
                    <a:glow rad="139700">
                      <a:schemeClr val="accent6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6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'Jan-2026'!$A$3:$A$29</c15:sqref>
                        </c15:formulaRef>
                      </c:ext>
                    </c:extLst>
                    <c:numCache>
                      <c:formatCode>dd\/mm\/yyyy</c:formatCode>
                      <c:ptCount val="27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'Jan-2026'!$N$3:$N$29</c15:sqref>
                        </c15:formulaRef>
                      </c:ext>
                    </c:extLst>
                    <c:numCache>
                      <c:formatCode>General</c:formatCode>
                      <c:ptCount val="27"/>
                    </c:numCache>
                  </c:numRef>
                </c: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5-39E8-42E3-9AA7-D4EA8636B9EE}"/>
                  </c:ext>
                </c:extLst>
              </c15:ser>
            </c15:filteredLineSeries>
            <c15:filteredLineSeries>
              <c15:ser>
                <c:idx val="6"/>
                <c:order val="5"/>
                <c:spPr>
                  <a:ln w="22225" cap="rnd">
                    <a:solidFill>
                      <a:schemeClr val="accent1">
                        <a:lumMod val="60000"/>
                      </a:schemeClr>
                    </a:solidFill>
                  </a:ln>
                  <a:effectLst>
                    <a:glow rad="139700">
                      <a:schemeClr val="accent1">
                        <a:lumMod val="6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1">
                        <a:lumMod val="6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1">
                          <a:lumMod val="6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'Jan-2026'!$A$3:$A$29</c15:sqref>
                        </c15:formulaRef>
                      </c:ext>
                    </c:extLst>
                    <c:numCache>
                      <c:formatCode>dd\/mm\/yyyy</c:formatCode>
                      <c:ptCount val="27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'Jan-2026'!$O$3:$O$29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6-39E8-42E3-9AA7-D4EA8636B9EE}"/>
                  </c:ext>
                </c:extLst>
              </c15:ser>
            </c15:filteredLineSeries>
            <c15:filteredLineSeries>
              <c15:ser>
                <c:idx val="7"/>
                <c:order val="6"/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</a:ln>
                  <a:effectLst>
                    <a:glow rad="139700">
                      <a:schemeClr val="accent2">
                        <a:lumMod val="6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2">
                        <a:lumMod val="6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2">
                          <a:lumMod val="6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'Jan-2026'!$A$3:$A$29</c15:sqref>
                        </c15:formulaRef>
                      </c:ext>
                    </c:extLst>
                    <c:numCache>
                      <c:formatCode>dd\/mm\/yyyy</c:formatCode>
                      <c:ptCount val="27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'Jan-2026'!$P$3:$P$29</c15:sqref>
                        </c15:formulaRef>
                      </c:ext>
                    </c:extLst>
                    <c:numCache>
                      <c:formatCode>0</c:formatCode>
                      <c:ptCount val="27"/>
                      <c:pt idx="0">
                        <c:v>1371.7142857142858</c:v>
                      </c:pt>
                      <c:pt idx="1">
                        <c:v>1309.5999999999999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7-39E8-42E3-9AA7-D4EA8636B9EE}"/>
                  </c:ext>
                </c:extLst>
              </c15:ser>
            </c15:filteredLineSeries>
            <c15:filteredLineSeries>
              <c15:ser>
                <c:idx val="8"/>
                <c:order val="7"/>
                <c:spPr>
                  <a:ln w="22225" cap="rnd">
                    <a:solidFill>
                      <a:schemeClr val="accent3">
                        <a:lumMod val="60000"/>
                      </a:schemeClr>
                    </a:solidFill>
                  </a:ln>
                  <a:effectLst>
                    <a:glow rad="139700">
                      <a:schemeClr val="accent3">
                        <a:lumMod val="6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3">
                        <a:lumMod val="6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3">
                          <a:lumMod val="6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'Jan-2026'!$A$3:$A$29</c15:sqref>
                        </c15:formulaRef>
                      </c:ext>
                    </c:extLst>
                    <c:numCache>
                      <c:formatCode>dd\/mm\/yyyy</c:formatCode>
                      <c:ptCount val="27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'Jan-2026'!$Q$3:$Q$29</c15:sqref>
                        </c15:formulaRef>
                      </c:ext>
                    </c:extLst>
                    <c:numCache>
                      <c:formatCode>General</c:formatCode>
                      <c:ptCount val="27"/>
                    </c:numCache>
                  </c:numRef>
                </c: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8-39E8-42E3-9AA7-D4EA8636B9EE}"/>
                  </c:ext>
                </c:extLst>
              </c15:ser>
            </c15:filteredLineSeries>
            <c15:filteredLineSeries>
              <c15:ser>
                <c:idx val="2"/>
                <c:order val="8"/>
                <c:spPr>
                  <a:ln w="22225" cap="rnd">
                    <a:solidFill>
                      <a:schemeClr val="accent3"/>
                    </a:solidFill>
                  </a:ln>
                  <a:effectLst>
                    <a:glow rad="139700">
                      <a:schemeClr val="accent3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3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B-39E8-42E3-9AA7-D4EA8636B9EE}"/>
                  </c:ext>
                </c:extLst>
              </c15:ser>
            </c15:filteredLineSeries>
          </c:ext>
        </c:extLst>
      </c:lineChart>
      <c:dateAx>
        <c:axId val="1505595903"/>
        <c:scaling>
          <c:orientation val="minMax"/>
        </c:scaling>
        <c:delete val="0"/>
        <c:axPos val="b"/>
        <c:numFmt formatCode="dd\/mm\/yyyy" sourceLinked="1"/>
        <c:majorTickMark val="cross"/>
        <c:minorTickMark val="cross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604543"/>
        <c:crosses val="autoZero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1505604543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595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Progress by KCal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5">
                  <a:lumMod val="60000"/>
                  <a:lumOff val="40000"/>
                  <a:alpha val="19000"/>
                </a:schemeClr>
              </a:glow>
            </a:effectLst>
          </c:spPr>
          <c:marker>
            <c:symbol val="circle"/>
            <c:size val="4"/>
            <c:spPr>
              <a:pattFill prst="pct75">
                <a:fgClr>
                  <a:schemeClr val="tx1"/>
                </a:fgClr>
                <a:bgClr>
                  <a:schemeClr val="bg1"/>
                </a:bgClr>
              </a:patt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Pt>
            <c:idx val="3"/>
            <c:marker>
              <c:symbol val="circle"/>
              <c:size val="4"/>
              <c:spPr>
                <a:pattFill prst="pct75">
                  <a:fgClr>
                    <a:schemeClr val="tx1"/>
                  </a:fgClr>
                  <a:bgClr>
                    <a:schemeClr val="bg1"/>
                  </a:bgClr>
                </a:pattFill>
                <a:ln>
                  <a:noFill/>
                </a:ln>
                <a:effectLst>
                  <a:glow rad="63500">
                    <a:schemeClr val="accent1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2225" cap="rnd">
                <a:solidFill>
                  <a:schemeClr val="accent1"/>
                </a:solidFill>
              </a:ln>
              <a:effectLst>
                <a:glow rad="101600">
                  <a:srgbClr val="0070C0">
                    <a:alpha val="14000"/>
                  </a:srgb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2-3023-4AAC-848E-950048102D78}"/>
              </c:ext>
            </c:extLst>
          </c:dPt>
          <c:cat>
            <c:numRef>
              <c:f>'Jan-2026'!$A$3:$A$29</c:f>
              <c:numCache>
                <c:formatCode>dd\/mm\/yyyy</c:formatCode>
                <c:ptCount val="27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</c:numCache>
              <c:extLst xmlns:c15="http://schemas.microsoft.com/office/drawing/2012/chart"/>
            </c:numRef>
          </c:cat>
          <c:val>
            <c:numRef>
              <c:f>'Jan-2026'!$J$3:$J$29</c:f>
              <c:numCache>
                <c:formatCode>General</c:formatCode>
                <c:ptCount val="27"/>
                <c:pt idx="0">
                  <c:v>1623</c:v>
                </c:pt>
                <c:pt idx="1">
                  <c:v>1323</c:v>
                </c:pt>
                <c:pt idx="2">
                  <c:v>1075</c:v>
                </c:pt>
                <c:pt idx="3">
                  <c:v>1380</c:v>
                </c:pt>
                <c:pt idx="4">
                  <c:v>1413</c:v>
                </c:pt>
                <c:pt idx="5">
                  <c:v>1713</c:v>
                </c:pt>
                <c:pt idx="6">
                  <c:v>1075</c:v>
                </c:pt>
                <c:pt idx="7">
                  <c:v>1440</c:v>
                </c:pt>
                <c:pt idx="8">
                  <c:v>1298</c:v>
                </c:pt>
                <c:pt idx="9">
                  <c:v>1560</c:v>
                </c:pt>
                <c:pt idx="10">
                  <c:v>1395</c:v>
                </c:pt>
                <c:pt idx="11">
                  <c:v>855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3023-4AAC-848E-950048102D78}"/>
            </c:ext>
          </c:extLst>
        </c:ser>
        <c:ser>
          <c:idx val="3"/>
          <c:order val="2"/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'Jan-2026'!$A$3:$A$29</c:f>
              <c:numCache>
                <c:formatCode>dd\/mm\/yyyy</c:formatCode>
                <c:ptCount val="27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</c:numCache>
              <c:extLst xmlns:c15="http://schemas.microsoft.com/office/drawing/2012/chart"/>
            </c:numRef>
          </c:cat>
          <c:val>
            <c:numRef>
              <c:f>Monthly_Tracker!#REF!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3023-4AAC-848E-950048102D78}"/>
            </c:ext>
          </c:extLst>
        </c:ser>
        <c:ser>
          <c:idx val="4"/>
          <c:order val="3"/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'Jan-2026'!$A$3:$A$29</c:f>
              <c:numCache>
                <c:formatCode>dd\/mm\/yyyy</c:formatCode>
                <c:ptCount val="27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</c:numCache>
              <c:extLst xmlns:c15="http://schemas.microsoft.com/office/drawing/2012/chart"/>
            </c:numRef>
          </c:cat>
          <c:val>
            <c:numRef>
              <c:f>Monthly_Tracker!#REF!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8-3023-4AAC-848E-9500481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5595903"/>
        <c:axId val="1505604543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2225" cap="rnd">
                    <a:solidFill>
                      <a:schemeClr val="accent2"/>
                    </a:solidFill>
                  </a:ln>
                  <a:effectLst>
                    <a:glow rad="139700">
                      <a:schemeClr val="accent2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'Jan-2026'!$A$3:$A$29</c15:sqref>
                        </c15:formulaRef>
                      </c:ext>
                    </c:extLst>
                    <c:numCache>
                      <c:formatCode>dd\/mm\/yyyy</c:formatCode>
                      <c:ptCount val="27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'Jan-2026'!$K$3:$K$29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87</c:v>
                      </c:pt>
                      <c:pt idx="1">
                        <c:v>87</c:v>
                      </c:pt>
                      <c:pt idx="2">
                        <c:v>87</c:v>
                      </c:pt>
                      <c:pt idx="3">
                        <c:v>86.5</c:v>
                      </c:pt>
                      <c:pt idx="4">
                        <c:v>87</c:v>
                      </c:pt>
                      <c:pt idx="5">
                        <c:v>87</c:v>
                      </c:pt>
                      <c:pt idx="6">
                        <c:v>86</c:v>
                      </c:pt>
                      <c:pt idx="7">
                        <c:v>86.5</c:v>
                      </c:pt>
                      <c:pt idx="8">
                        <c:v>86.5</c:v>
                      </c:pt>
                      <c:pt idx="9">
                        <c:v>86.5</c:v>
                      </c:pt>
                      <c:pt idx="10">
                        <c:v>86.5</c:v>
                      </c:pt>
                      <c:pt idx="11">
                        <c:v>86.5</c:v>
                      </c:pt>
                    </c:numCache>
                  </c:numRef>
                </c:val>
                <c:smooth val="0"/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2-3023-4AAC-848E-950048102D78}"/>
                  </c:ext>
                </c:extLst>
              </c15:ser>
            </c15:filteredLineSeries>
            <c15:filteredLineSeries>
              <c15:ser>
                <c:idx val="6"/>
                <c:order val="4"/>
                <c:spPr>
                  <a:ln w="22225" cap="rnd">
                    <a:solidFill>
                      <a:schemeClr val="accent1">
                        <a:lumMod val="60000"/>
                      </a:schemeClr>
                    </a:solidFill>
                  </a:ln>
                  <a:effectLst>
                    <a:glow rad="139700">
                      <a:schemeClr val="accent1">
                        <a:lumMod val="6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'Jan-2026'!$A$3:$A$29</c15:sqref>
                        </c15:formulaRef>
                      </c:ext>
                    </c:extLst>
                    <c:numCache>
                      <c:formatCode>dd\/mm\/yyyy</c:formatCode>
                      <c:ptCount val="27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'Jan-2026'!$O$3:$O$29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C-3023-4AAC-848E-950048102D78}"/>
                  </c:ext>
                </c:extLst>
              </c15:ser>
            </c15:filteredLineSeries>
            <c15:filteredLineSeries>
              <c15:ser>
                <c:idx val="7"/>
                <c:order val="5"/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</a:ln>
                  <a:effectLst>
                    <a:glow rad="139700">
                      <a:schemeClr val="accent2">
                        <a:lumMod val="6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'Jan-2026'!$A$3:$A$29</c15:sqref>
                        </c15:formulaRef>
                      </c:ext>
                    </c:extLst>
                    <c:numCache>
                      <c:formatCode>dd\/mm\/yyyy</c:formatCode>
                      <c:ptCount val="27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'Jan-2026'!$P$3:$P$29</c15:sqref>
                        </c15:formulaRef>
                      </c:ext>
                    </c:extLst>
                    <c:numCache>
                      <c:formatCode>0</c:formatCode>
                      <c:ptCount val="27"/>
                      <c:pt idx="0">
                        <c:v>1371.7142857142858</c:v>
                      </c:pt>
                      <c:pt idx="1">
                        <c:v>1309.5999999999999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E-3023-4AAC-848E-950048102D78}"/>
                  </c:ext>
                </c:extLst>
              </c15:ser>
            </c15:filteredLineSeries>
          </c:ext>
        </c:extLst>
      </c:lineChart>
      <c:dateAx>
        <c:axId val="1505595903"/>
        <c:scaling>
          <c:orientation val="minMax"/>
        </c:scaling>
        <c:delete val="0"/>
        <c:axPos val="b"/>
        <c:numFmt formatCode="dd\/mm\/yyyy" sourceLinked="1"/>
        <c:majorTickMark val="cross"/>
        <c:minorTickMark val="cross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604543"/>
        <c:crosses val="autoZero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150560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595903"/>
        <c:crossesAt val="46027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Weekly Consistency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'Jan-2026'!$V$2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softEdge rad="0"/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1-3399-4E00-AF2A-63C4286EECDF}"/>
              </c:ext>
            </c:extLst>
          </c:dPt>
          <c:cat>
            <c:strRef>
              <c:f>'Jan-2026'!$U$3:$U$6</c:f>
              <c:strCache>
                <c:ptCount val="4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</c:strCache>
            </c:strRef>
          </c:cat>
          <c:val>
            <c:numRef>
              <c:f>'Jan-2026'!$V$3:$V$6</c:f>
              <c:numCache>
                <c:formatCode>0.00%</c:formatCode>
                <c:ptCount val="4"/>
                <c:pt idx="0">
                  <c:v>1</c:v>
                </c:pt>
                <c:pt idx="1">
                  <c:v>0.7142857142857143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99-4E00-AF2A-63C4286EE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2393359"/>
        <c:axId val="1552404879"/>
      </c:barChart>
      <c:catAx>
        <c:axId val="155239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404879"/>
        <c:crosses val="autoZero"/>
        <c:auto val="1"/>
        <c:lblAlgn val="ctr"/>
        <c:lblOffset val="100"/>
        <c:noMultiLvlLbl val="0"/>
      </c:catAx>
      <c:valAx>
        <c:axId val="155240487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39335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Progress by weight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numRef>
              <c:f>'Feb-2026'!$A$3:$A$29</c:f>
              <c:numCache>
                <c:formatCode>dd\/mm\/yyyy</c:formatCode>
                <c:ptCount val="27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</c:numCache>
            </c:numRef>
          </c:cat>
          <c:val>
            <c:numRef>
              <c:f>'Feb-2026'!$K$3:$K$29</c:f>
              <c:numCache>
                <c:formatCode>General</c:formatCode>
                <c:ptCount val="27"/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26A-45E6-8CFF-59792D02CA3A}"/>
            </c:ext>
          </c:extLst>
        </c:ser>
        <c:ser>
          <c:idx val="3"/>
          <c:order val="2"/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cat>
            <c:numRef>
              <c:f>'Feb-2026'!$A$3:$A$29</c:f>
              <c:numCache>
                <c:formatCode>dd\/mm\/yyyy</c:formatCode>
                <c:ptCount val="27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</c:numCache>
            </c:numRef>
          </c:cat>
          <c:val>
            <c:numRef>
              <c:f>Monthly_Tracker!#REF!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F26A-45E6-8CFF-59792D02CA3A}"/>
            </c:ext>
          </c:extLst>
        </c:ser>
        <c:ser>
          <c:idx val="4"/>
          <c:order val="3"/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cat>
            <c:numRef>
              <c:f>'Feb-2026'!$A$3:$A$29</c:f>
              <c:numCache>
                <c:formatCode>dd\/mm\/yyyy</c:formatCode>
                <c:ptCount val="27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</c:numCache>
            </c:numRef>
          </c:cat>
          <c:val>
            <c:numRef>
              <c:f>Monthly_Tracker!#REF!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F26A-45E6-8CFF-59792D02C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5595903"/>
        <c:axId val="150560454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2225" cap="rnd">
                    <a:solidFill>
                      <a:schemeClr val="accent1"/>
                    </a:solidFill>
                  </a:ln>
                  <a:effectLst>
                    <a:glow rad="139700">
                      <a:schemeClr val="accent1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1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'Feb-2026'!$A$3:$A$29</c15:sqref>
                        </c15:formulaRef>
                      </c:ext>
                    </c:extLst>
                    <c:numCache>
                      <c:formatCode>dd\/mm\/yyyy</c:formatCode>
                      <c:ptCount val="27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'Feb-2026'!$J$3:$J$29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</c:numCache>
                  </c:numRef>
                </c:val>
                <c:smooth val="0"/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3-F26A-45E6-8CFF-59792D02CA3A}"/>
                  </c:ext>
                </c:extLst>
              </c15:ser>
            </c15:filteredLineSeries>
            <c15:filteredLineSeries>
              <c15:ser>
                <c:idx val="5"/>
                <c:order val="4"/>
                <c:spPr>
                  <a:ln w="22225" cap="rnd">
                    <a:solidFill>
                      <a:schemeClr val="accent6"/>
                    </a:solidFill>
                  </a:ln>
                  <a:effectLst>
                    <a:glow rad="139700">
                      <a:schemeClr val="accent6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6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'Feb-2026'!$A$3:$A$29</c15:sqref>
                        </c15:formulaRef>
                      </c:ext>
                    </c:extLst>
                    <c:numCache>
                      <c:formatCode>dd\/mm\/yyyy</c:formatCode>
                      <c:ptCount val="27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'Feb-2026'!$O$3:$O$29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4-F26A-45E6-8CFF-59792D02CA3A}"/>
                  </c:ext>
                </c:extLst>
              </c15:ser>
            </c15:filteredLineSeries>
            <c15:filteredLineSeries>
              <c15:ser>
                <c:idx val="6"/>
                <c:order val="5"/>
                <c:spPr>
                  <a:ln w="22225" cap="rnd">
                    <a:solidFill>
                      <a:schemeClr val="accent1">
                        <a:lumMod val="60000"/>
                      </a:schemeClr>
                    </a:solidFill>
                  </a:ln>
                  <a:effectLst>
                    <a:glow rad="139700">
                      <a:schemeClr val="accent1">
                        <a:lumMod val="6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1">
                        <a:lumMod val="6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1">
                          <a:lumMod val="6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'Feb-2026'!$A$3:$A$29</c15:sqref>
                        </c15:formulaRef>
                      </c:ext>
                    </c:extLst>
                    <c:numCache>
                      <c:formatCode>dd\/mm\/yyyy</c:formatCode>
                      <c:ptCount val="27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'Feb-2026'!$P$3:$P$29</c15:sqref>
                        </c15:formulaRef>
                      </c:ext>
                    </c:extLst>
                    <c:numCache>
                      <c:formatCode>0</c:formatCode>
                      <c:ptCount val="2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5-F26A-45E6-8CFF-59792D02CA3A}"/>
                  </c:ext>
                </c:extLst>
              </c15:ser>
            </c15:filteredLineSeries>
            <c15:filteredLineSeries>
              <c15:ser>
                <c:idx val="7"/>
                <c:order val="6"/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</a:ln>
                  <a:effectLst>
                    <a:glow rad="139700">
                      <a:schemeClr val="accent2">
                        <a:lumMod val="6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2">
                        <a:lumMod val="6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2">
                          <a:lumMod val="6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'Feb-2026'!$A$3:$A$29</c15:sqref>
                        </c15:formulaRef>
                      </c:ext>
                    </c:extLst>
                    <c:numCache>
                      <c:formatCode>dd\/mm\/yyyy</c:formatCode>
                      <c:ptCount val="27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'Feb-2026'!$Q$3:$Q$29</c15:sqref>
                        </c15:formulaRef>
                      </c:ext>
                    </c:extLst>
                    <c:numCache>
                      <c:formatCode>General</c:formatCode>
                      <c:ptCount val="27"/>
                    </c:numCache>
                  </c:numRef>
                </c: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6-F26A-45E6-8CFF-59792D02CA3A}"/>
                  </c:ext>
                </c:extLst>
              </c15:ser>
            </c15:filteredLineSeries>
            <c15:filteredLineSeries>
              <c15:ser>
                <c:idx val="8"/>
                <c:order val="7"/>
                <c:spPr>
                  <a:ln w="22225" cap="rnd">
                    <a:solidFill>
                      <a:schemeClr val="accent3">
                        <a:lumMod val="60000"/>
                      </a:schemeClr>
                    </a:solidFill>
                  </a:ln>
                  <a:effectLst>
                    <a:glow rad="139700">
                      <a:schemeClr val="accent3">
                        <a:lumMod val="6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3">
                        <a:lumMod val="6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3">
                          <a:lumMod val="6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'Feb-2026'!$A$3:$A$29</c15:sqref>
                        </c15:formulaRef>
                      </c:ext>
                    </c:extLst>
                    <c:numCache>
                      <c:formatCode>dd\/mm\/yyyy</c:formatCode>
                      <c:ptCount val="27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'Feb-2026'!$R$3:$R$29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7-F26A-45E6-8CFF-59792D02CA3A}"/>
                  </c:ext>
                </c:extLst>
              </c15:ser>
            </c15:filteredLineSeries>
            <c15:filteredLineSeries>
              <c15:ser>
                <c:idx val="2"/>
                <c:order val="8"/>
                <c:spPr>
                  <a:ln w="22225" cap="rnd">
                    <a:solidFill>
                      <a:schemeClr val="accent3"/>
                    </a:solidFill>
                  </a:ln>
                  <a:effectLst>
                    <a:glow rad="139700">
                      <a:schemeClr val="accent3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3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8-F26A-45E6-8CFF-59792D02CA3A}"/>
                  </c:ext>
                </c:extLst>
              </c15:ser>
            </c15:filteredLineSeries>
          </c:ext>
        </c:extLst>
      </c:lineChart>
      <c:dateAx>
        <c:axId val="1505595903"/>
        <c:scaling>
          <c:orientation val="minMax"/>
        </c:scaling>
        <c:delete val="0"/>
        <c:axPos val="b"/>
        <c:numFmt formatCode="dd\/mm\/yyyy" sourceLinked="1"/>
        <c:majorTickMark val="cross"/>
        <c:minorTickMark val="cross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604543"/>
        <c:crosses val="autoZero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1505604543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595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Progress by KCal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5">
                  <a:lumMod val="60000"/>
                  <a:lumOff val="40000"/>
                  <a:alpha val="19000"/>
                </a:schemeClr>
              </a:glow>
            </a:effectLst>
          </c:spPr>
          <c:marker>
            <c:symbol val="circle"/>
            <c:size val="4"/>
            <c:spPr>
              <a:pattFill prst="pct75">
                <a:fgClr>
                  <a:schemeClr val="tx1"/>
                </a:fgClr>
                <a:bgClr>
                  <a:schemeClr val="bg1"/>
                </a:bgClr>
              </a:patt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Pt>
            <c:idx val="3"/>
            <c:marker>
              <c:symbol val="circle"/>
              <c:size val="4"/>
              <c:spPr>
                <a:pattFill prst="pct75">
                  <a:fgClr>
                    <a:schemeClr val="tx1"/>
                  </a:fgClr>
                  <a:bgClr>
                    <a:schemeClr val="bg1"/>
                  </a:bgClr>
                </a:pattFill>
                <a:ln>
                  <a:noFill/>
                </a:ln>
                <a:effectLst>
                  <a:glow rad="63500">
                    <a:schemeClr val="accent1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2225" cap="rnd">
                <a:solidFill>
                  <a:schemeClr val="accent1"/>
                </a:solidFill>
              </a:ln>
              <a:effectLst>
                <a:glow rad="101600">
                  <a:srgbClr val="0070C0">
                    <a:alpha val="14000"/>
                  </a:srgb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3FF0-4388-896C-DFF400E59FBB}"/>
              </c:ext>
            </c:extLst>
          </c:dPt>
          <c:cat>
            <c:numRef>
              <c:f>'Feb-2026'!$A$3:$A$29</c:f>
              <c:numCache>
                <c:formatCode>dd\/mm\/yyyy</c:formatCode>
                <c:ptCount val="27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</c:numCache>
            </c:numRef>
          </c:cat>
          <c:val>
            <c:numRef>
              <c:f>'Feb-2026'!$J$3:$J$29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3FF0-4388-896C-DFF400E59FBB}"/>
            </c:ext>
          </c:extLst>
        </c:ser>
        <c:ser>
          <c:idx val="3"/>
          <c:order val="2"/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'Feb-2026'!$A$3:$A$29</c:f>
              <c:numCache>
                <c:formatCode>dd\/mm\/yyyy</c:formatCode>
                <c:ptCount val="27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</c:numCache>
            </c:numRef>
          </c:cat>
          <c:val>
            <c:numRef>
              <c:f>Monthly_Tracker!#REF!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3FF0-4388-896C-DFF400E59FBB}"/>
            </c:ext>
          </c:extLst>
        </c:ser>
        <c:ser>
          <c:idx val="4"/>
          <c:order val="3"/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'Feb-2026'!$A$3:$A$29</c:f>
              <c:numCache>
                <c:formatCode>dd\/mm\/yyyy</c:formatCode>
                <c:ptCount val="27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</c:numCache>
            </c:numRef>
          </c:cat>
          <c:val>
            <c:numRef>
              <c:f>Monthly_Tracker!#REF!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3FF0-4388-896C-DFF400E59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5595903"/>
        <c:axId val="1505604543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2225" cap="rnd">
                    <a:solidFill>
                      <a:schemeClr val="accent2"/>
                    </a:solidFill>
                  </a:ln>
                  <a:effectLst>
                    <a:glow rad="139700">
                      <a:schemeClr val="accent2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'Feb-2026'!$A$3:$A$29</c15:sqref>
                        </c15:formulaRef>
                      </c:ext>
                    </c:extLst>
                    <c:numCache>
                      <c:formatCode>dd\/mm\/yyyy</c:formatCode>
                      <c:ptCount val="27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'Feb-2026'!$K$3:$K$29</c15:sqref>
                        </c15:formulaRef>
                      </c:ext>
                    </c:extLst>
                    <c:numCache>
                      <c:formatCode>General</c:formatCode>
                      <c:ptCount val="27"/>
                    </c:numCache>
                  </c:numRef>
                </c:val>
                <c:smooth val="0"/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5-3FF0-4388-896C-DFF400E59FBB}"/>
                  </c:ext>
                </c:extLst>
              </c15:ser>
            </c15:filteredLineSeries>
            <c15:filteredLineSeries>
              <c15:ser>
                <c:idx val="6"/>
                <c:order val="4"/>
                <c:spPr>
                  <a:ln w="22225" cap="rnd">
                    <a:solidFill>
                      <a:schemeClr val="accent1">
                        <a:lumMod val="60000"/>
                      </a:schemeClr>
                    </a:solidFill>
                  </a:ln>
                  <a:effectLst>
                    <a:glow rad="139700">
                      <a:schemeClr val="accent1">
                        <a:lumMod val="6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'Feb-2026'!$A$3:$A$29</c15:sqref>
                        </c15:formulaRef>
                      </c:ext>
                    </c:extLst>
                    <c:numCache>
                      <c:formatCode>dd\/mm\/yyyy</c:formatCode>
                      <c:ptCount val="27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'Feb-2026'!$P$3:$P$29</c15:sqref>
                        </c15:formulaRef>
                      </c:ext>
                    </c:extLst>
                    <c:numCache>
                      <c:formatCode>0</c:formatCode>
                      <c:ptCount val="2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6-3FF0-4388-896C-DFF400E59FBB}"/>
                  </c:ext>
                </c:extLst>
              </c15:ser>
            </c15:filteredLineSeries>
            <c15:filteredLineSeries>
              <c15:ser>
                <c:idx val="7"/>
                <c:order val="5"/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</a:ln>
                  <a:effectLst>
                    <a:glow rad="139700">
                      <a:schemeClr val="accent2">
                        <a:lumMod val="6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'Feb-2026'!$A$3:$A$29</c15:sqref>
                        </c15:formulaRef>
                      </c:ext>
                    </c:extLst>
                    <c:numCache>
                      <c:formatCode>dd\/mm\/yyyy</c:formatCode>
                      <c:ptCount val="27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'Feb-2026'!$Q$3:$Q$29</c15:sqref>
                        </c15:formulaRef>
                      </c:ext>
                    </c:extLst>
                    <c:numCache>
                      <c:formatCode>General</c:formatCode>
                      <c:ptCount val="27"/>
                    </c:numCache>
                  </c:numRef>
                </c: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7-3FF0-4388-896C-DFF400E59FBB}"/>
                  </c:ext>
                </c:extLst>
              </c15:ser>
            </c15:filteredLineSeries>
          </c:ext>
        </c:extLst>
      </c:lineChart>
      <c:dateAx>
        <c:axId val="1505595903"/>
        <c:scaling>
          <c:orientation val="minMax"/>
        </c:scaling>
        <c:delete val="0"/>
        <c:axPos val="b"/>
        <c:numFmt formatCode="dd\/mm\/yyyy" sourceLinked="1"/>
        <c:majorTickMark val="cross"/>
        <c:minorTickMark val="cross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604543"/>
        <c:crosses val="autoZero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150560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595903"/>
        <c:crossesAt val="46027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Weekly Consistency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'Feb-2026'!$V$2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softEdge rad="0"/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1-5A3D-414D-8296-CAE477F2E7EB}"/>
              </c:ext>
            </c:extLst>
          </c:dPt>
          <c:cat>
            <c:strRef>
              <c:f>'Feb-2026'!$U$3:$U$6</c:f>
              <c:strCache>
                <c:ptCount val="4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</c:strCache>
            </c:strRef>
          </c:cat>
          <c:val>
            <c:numRef>
              <c:f>'Feb-2026'!$V$3:$V$6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3D-414D-8296-CAE477F2E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2393359"/>
        <c:axId val="1552404879"/>
      </c:barChart>
      <c:catAx>
        <c:axId val="155239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404879"/>
        <c:crosses val="autoZero"/>
        <c:auto val="1"/>
        <c:lblAlgn val="ctr"/>
        <c:lblOffset val="100"/>
        <c:noMultiLvlLbl val="0"/>
      </c:catAx>
      <c:valAx>
        <c:axId val="155240487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39335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Progress by weight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numRef>
              <c:f>'Mar-2026'!$A$3:$A$29</c:f>
              <c:numCache>
                <c:formatCode>dd\/mm\/yyyy</c:formatCode>
                <c:ptCount val="27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</c:numCache>
            </c:numRef>
          </c:cat>
          <c:val>
            <c:numRef>
              <c:f>'Mar-2026'!$K$3:$K$29</c:f>
              <c:numCache>
                <c:formatCode>General</c:formatCode>
                <c:ptCount val="27"/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CCE-4F96-98D5-E45AC87BA762}"/>
            </c:ext>
          </c:extLst>
        </c:ser>
        <c:ser>
          <c:idx val="3"/>
          <c:order val="2"/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cat>
            <c:numRef>
              <c:f>'Mar-2026'!$A$3:$A$29</c:f>
              <c:numCache>
                <c:formatCode>dd\/mm\/yyyy</c:formatCode>
                <c:ptCount val="27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</c:numCache>
            </c:numRef>
          </c:cat>
          <c:val>
            <c:numRef>
              <c:f>Monthly_Tracker!#REF!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2CCE-4F96-98D5-E45AC87BA762}"/>
            </c:ext>
          </c:extLst>
        </c:ser>
        <c:ser>
          <c:idx val="4"/>
          <c:order val="3"/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cat>
            <c:numRef>
              <c:f>'Mar-2026'!$A$3:$A$29</c:f>
              <c:numCache>
                <c:formatCode>dd\/mm\/yyyy</c:formatCode>
                <c:ptCount val="27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</c:numCache>
            </c:numRef>
          </c:cat>
          <c:val>
            <c:numRef>
              <c:f>Monthly_Tracker!#REF!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2CCE-4F96-98D5-E45AC87BA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5595903"/>
        <c:axId val="150560454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2225" cap="rnd">
                    <a:solidFill>
                      <a:schemeClr val="accent1"/>
                    </a:solidFill>
                  </a:ln>
                  <a:effectLst>
                    <a:glow rad="139700">
                      <a:schemeClr val="accent1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1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'Mar-2026'!$A$3:$A$29</c15:sqref>
                        </c15:formulaRef>
                      </c:ext>
                    </c:extLst>
                    <c:numCache>
                      <c:formatCode>dd\/mm\/yyyy</c:formatCode>
                      <c:ptCount val="27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'Mar-2026'!$J$3:$J$29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</c:numCache>
                  </c:numRef>
                </c:val>
                <c:smooth val="0"/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3-2CCE-4F96-98D5-E45AC87BA762}"/>
                  </c:ext>
                </c:extLst>
              </c15:ser>
            </c15:filteredLineSeries>
            <c15:filteredLineSeries>
              <c15:ser>
                <c:idx val="5"/>
                <c:order val="4"/>
                <c:spPr>
                  <a:ln w="22225" cap="rnd">
                    <a:solidFill>
                      <a:schemeClr val="accent6"/>
                    </a:solidFill>
                  </a:ln>
                  <a:effectLst>
                    <a:glow rad="139700">
                      <a:schemeClr val="accent6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6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'Mar-2026'!$A$3:$A$29</c15:sqref>
                        </c15:formulaRef>
                      </c:ext>
                    </c:extLst>
                    <c:numCache>
                      <c:formatCode>dd\/mm\/yyyy</c:formatCode>
                      <c:ptCount val="27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'Mar-2026'!$O$3:$O$29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4-2CCE-4F96-98D5-E45AC87BA762}"/>
                  </c:ext>
                </c:extLst>
              </c15:ser>
            </c15:filteredLineSeries>
            <c15:filteredLineSeries>
              <c15:ser>
                <c:idx val="6"/>
                <c:order val="5"/>
                <c:spPr>
                  <a:ln w="22225" cap="rnd">
                    <a:solidFill>
                      <a:schemeClr val="accent1">
                        <a:lumMod val="60000"/>
                      </a:schemeClr>
                    </a:solidFill>
                  </a:ln>
                  <a:effectLst>
                    <a:glow rad="139700">
                      <a:schemeClr val="accent1">
                        <a:lumMod val="6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1">
                        <a:lumMod val="6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1">
                          <a:lumMod val="6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'Mar-2026'!$A$3:$A$29</c15:sqref>
                        </c15:formulaRef>
                      </c:ext>
                    </c:extLst>
                    <c:numCache>
                      <c:formatCode>dd\/mm\/yyyy</c:formatCode>
                      <c:ptCount val="27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'Mar-2026'!$P$3:$P$29</c15:sqref>
                        </c15:formulaRef>
                      </c:ext>
                    </c:extLst>
                    <c:numCache>
                      <c:formatCode>0</c:formatCode>
                      <c:ptCount val="2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5-2CCE-4F96-98D5-E45AC87BA762}"/>
                  </c:ext>
                </c:extLst>
              </c15:ser>
            </c15:filteredLineSeries>
            <c15:filteredLineSeries>
              <c15:ser>
                <c:idx val="7"/>
                <c:order val="6"/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</a:ln>
                  <a:effectLst>
                    <a:glow rad="139700">
                      <a:schemeClr val="accent2">
                        <a:lumMod val="6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2">
                        <a:lumMod val="6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2">
                          <a:lumMod val="6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'Mar-2026'!$A$3:$A$29</c15:sqref>
                        </c15:formulaRef>
                      </c:ext>
                    </c:extLst>
                    <c:numCache>
                      <c:formatCode>dd\/mm\/yyyy</c:formatCode>
                      <c:ptCount val="27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'Mar-2026'!$Q$3:$Q$29</c15:sqref>
                        </c15:formulaRef>
                      </c:ext>
                    </c:extLst>
                    <c:numCache>
                      <c:formatCode>General</c:formatCode>
                      <c:ptCount val="27"/>
                    </c:numCache>
                  </c:numRef>
                </c: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6-2CCE-4F96-98D5-E45AC87BA762}"/>
                  </c:ext>
                </c:extLst>
              </c15:ser>
            </c15:filteredLineSeries>
            <c15:filteredLineSeries>
              <c15:ser>
                <c:idx val="8"/>
                <c:order val="7"/>
                <c:spPr>
                  <a:ln w="22225" cap="rnd">
                    <a:solidFill>
                      <a:schemeClr val="accent3">
                        <a:lumMod val="60000"/>
                      </a:schemeClr>
                    </a:solidFill>
                  </a:ln>
                  <a:effectLst>
                    <a:glow rad="139700">
                      <a:schemeClr val="accent3">
                        <a:lumMod val="6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3">
                        <a:lumMod val="6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3">
                          <a:lumMod val="6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'Mar-2026'!$A$3:$A$29</c15:sqref>
                        </c15:formulaRef>
                      </c:ext>
                    </c:extLst>
                    <c:numCache>
                      <c:formatCode>dd\/mm\/yyyy</c:formatCode>
                      <c:ptCount val="27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'Mar-2026'!$R$3:$R$29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7-2CCE-4F96-98D5-E45AC87BA762}"/>
                  </c:ext>
                </c:extLst>
              </c15:ser>
            </c15:filteredLineSeries>
            <c15:filteredLineSeries>
              <c15:ser>
                <c:idx val="2"/>
                <c:order val="8"/>
                <c:spPr>
                  <a:ln w="22225" cap="rnd">
                    <a:solidFill>
                      <a:schemeClr val="accent3"/>
                    </a:solidFill>
                  </a:ln>
                  <a:effectLst>
                    <a:glow rad="139700">
                      <a:schemeClr val="accent3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3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8-2CCE-4F96-98D5-E45AC87BA762}"/>
                  </c:ext>
                </c:extLst>
              </c15:ser>
            </c15:filteredLineSeries>
          </c:ext>
        </c:extLst>
      </c:lineChart>
      <c:dateAx>
        <c:axId val="1505595903"/>
        <c:scaling>
          <c:orientation val="minMax"/>
        </c:scaling>
        <c:delete val="0"/>
        <c:axPos val="b"/>
        <c:numFmt formatCode="dd\/mm\/yyyy" sourceLinked="1"/>
        <c:majorTickMark val="cross"/>
        <c:minorTickMark val="cross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604543"/>
        <c:crosses val="autoZero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1505604543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595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Progress by KCal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5">
                  <a:lumMod val="60000"/>
                  <a:lumOff val="40000"/>
                  <a:alpha val="19000"/>
                </a:schemeClr>
              </a:glow>
            </a:effectLst>
          </c:spPr>
          <c:marker>
            <c:symbol val="circle"/>
            <c:size val="4"/>
            <c:spPr>
              <a:pattFill prst="pct75">
                <a:fgClr>
                  <a:schemeClr val="tx1"/>
                </a:fgClr>
                <a:bgClr>
                  <a:schemeClr val="bg1"/>
                </a:bgClr>
              </a:patt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Pt>
            <c:idx val="3"/>
            <c:marker>
              <c:symbol val="circle"/>
              <c:size val="4"/>
              <c:spPr>
                <a:pattFill prst="pct75">
                  <a:fgClr>
                    <a:schemeClr val="tx1"/>
                  </a:fgClr>
                  <a:bgClr>
                    <a:schemeClr val="bg1"/>
                  </a:bgClr>
                </a:pattFill>
                <a:ln>
                  <a:noFill/>
                </a:ln>
                <a:effectLst>
                  <a:glow rad="63500">
                    <a:schemeClr val="accent1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2225" cap="rnd">
                <a:solidFill>
                  <a:schemeClr val="accent1"/>
                </a:solidFill>
              </a:ln>
              <a:effectLst>
                <a:glow rad="101600">
                  <a:srgbClr val="0070C0">
                    <a:alpha val="14000"/>
                  </a:srgb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EC60-4712-B5AE-C1024E76A8C3}"/>
              </c:ext>
            </c:extLst>
          </c:dPt>
          <c:cat>
            <c:numRef>
              <c:f>'Mar-2026'!$A$3:$A$29</c:f>
              <c:numCache>
                <c:formatCode>dd\/mm\/yyyy</c:formatCode>
                <c:ptCount val="27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</c:numCache>
            </c:numRef>
          </c:cat>
          <c:val>
            <c:numRef>
              <c:f>'Mar-2026'!$J$3:$J$29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EC60-4712-B5AE-C1024E76A8C3}"/>
            </c:ext>
          </c:extLst>
        </c:ser>
        <c:ser>
          <c:idx val="3"/>
          <c:order val="2"/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'Mar-2026'!$A$3:$A$29</c:f>
              <c:numCache>
                <c:formatCode>dd\/mm\/yyyy</c:formatCode>
                <c:ptCount val="27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</c:numCache>
            </c:numRef>
          </c:cat>
          <c:val>
            <c:numRef>
              <c:f>Monthly_Tracker!#REF!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EC60-4712-B5AE-C1024E76A8C3}"/>
            </c:ext>
          </c:extLst>
        </c:ser>
        <c:ser>
          <c:idx val="4"/>
          <c:order val="3"/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'Mar-2026'!$A$3:$A$29</c:f>
              <c:numCache>
                <c:formatCode>dd\/mm\/yyyy</c:formatCode>
                <c:ptCount val="27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</c:numCache>
            </c:numRef>
          </c:cat>
          <c:val>
            <c:numRef>
              <c:f>Monthly_Tracker!#REF!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EC60-4712-B5AE-C1024E76A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5595903"/>
        <c:axId val="1505604543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2225" cap="rnd">
                    <a:solidFill>
                      <a:schemeClr val="accent2"/>
                    </a:solidFill>
                  </a:ln>
                  <a:effectLst>
                    <a:glow rad="139700">
                      <a:schemeClr val="accent2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'Mar-2026'!$A$3:$A$29</c15:sqref>
                        </c15:formulaRef>
                      </c:ext>
                    </c:extLst>
                    <c:numCache>
                      <c:formatCode>dd\/mm\/yyyy</c:formatCode>
                      <c:ptCount val="27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'Mar-2026'!$K$3:$K$29</c15:sqref>
                        </c15:formulaRef>
                      </c:ext>
                    </c:extLst>
                    <c:numCache>
                      <c:formatCode>General</c:formatCode>
                      <c:ptCount val="27"/>
                    </c:numCache>
                  </c:numRef>
                </c:val>
                <c:smooth val="0"/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5-EC60-4712-B5AE-C1024E76A8C3}"/>
                  </c:ext>
                </c:extLst>
              </c15:ser>
            </c15:filteredLineSeries>
            <c15:filteredLineSeries>
              <c15:ser>
                <c:idx val="6"/>
                <c:order val="4"/>
                <c:spPr>
                  <a:ln w="22225" cap="rnd">
                    <a:solidFill>
                      <a:schemeClr val="accent1">
                        <a:lumMod val="60000"/>
                      </a:schemeClr>
                    </a:solidFill>
                  </a:ln>
                  <a:effectLst>
                    <a:glow rad="139700">
                      <a:schemeClr val="accent1">
                        <a:lumMod val="6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'Mar-2026'!$A$3:$A$29</c15:sqref>
                        </c15:formulaRef>
                      </c:ext>
                    </c:extLst>
                    <c:numCache>
                      <c:formatCode>dd\/mm\/yyyy</c:formatCode>
                      <c:ptCount val="27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'Mar-2026'!$P$3:$P$29</c15:sqref>
                        </c15:formulaRef>
                      </c:ext>
                    </c:extLst>
                    <c:numCache>
                      <c:formatCode>0</c:formatCode>
                      <c:ptCount val="2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6-EC60-4712-B5AE-C1024E76A8C3}"/>
                  </c:ext>
                </c:extLst>
              </c15:ser>
            </c15:filteredLineSeries>
            <c15:filteredLineSeries>
              <c15:ser>
                <c:idx val="7"/>
                <c:order val="5"/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</a:ln>
                  <a:effectLst>
                    <a:glow rad="139700">
                      <a:schemeClr val="accent2">
                        <a:lumMod val="6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'Mar-2026'!$A$3:$A$29</c15:sqref>
                        </c15:formulaRef>
                      </c:ext>
                    </c:extLst>
                    <c:numCache>
                      <c:formatCode>dd\/mm\/yyyy</c:formatCode>
                      <c:ptCount val="27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'Mar-2026'!$Q$3:$Q$29</c15:sqref>
                        </c15:formulaRef>
                      </c:ext>
                    </c:extLst>
                    <c:numCache>
                      <c:formatCode>General</c:formatCode>
                      <c:ptCount val="27"/>
                    </c:numCache>
                  </c:numRef>
                </c: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7-EC60-4712-B5AE-C1024E76A8C3}"/>
                  </c:ext>
                </c:extLst>
              </c15:ser>
            </c15:filteredLineSeries>
          </c:ext>
        </c:extLst>
      </c:lineChart>
      <c:dateAx>
        <c:axId val="1505595903"/>
        <c:scaling>
          <c:orientation val="minMax"/>
        </c:scaling>
        <c:delete val="0"/>
        <c:axPos val="b"/>
        <c:numFmt formatCode="dd\/mm\/yyyy" sourceLinked="1"/>
        <c:majorTickMark val="cross"/>
        <c:minorTickMark val="cross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604543"/>
        <c:crosses val="autoZero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150560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595903"/>
        <c:crossesAt val="46027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Weekly Consistency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'Mar-2026'!$V$2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softEdge rad="0"/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1-8B29-4ED6-B7DD-E53AE55A59CB}"/>
              </c:ext>
            </c:extLst>
          </c:dPt>
          <c:cat>
            <c:strRef>
              <c:f>'Mar-2026'!$U$3:$U$6</c:f>
              <c:strCache>
                <c:ptCount val="4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</c:strCache>
            </c:strRef>
          </c:cat>
          <c:val>
            <c:numRef>
              <c:f>'Mar-2026'!$V$3:$V$6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29-4ED6-B7DD-E53AE55A5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2393359"/>
        <c:axId val="1552404879"/>
      </c:barChart>
      <c:catAx>
        <c:axId val="155239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404879"/>
        <c:crosses val="autoZero"/>
        <c:auto val="1"/>
        <c:lblAlgn val="ctr"/>
        <c:lblOffset val="100"/>
        <c:noMultiLvlLbl val="0"/>
      </c:catAx>
      <c:valAx>
        <c:axId val="155240487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39335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Progress by weight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numRef>
              <c:f>'Apr-2026'!$A$3:$A$29</c:f>
              <c:numCache>
                <c:formatCode>dd\/mm\/yyyy</c:formatCode>
                <c:ptCount val="27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</c:numCache>
            </c:numRef>
          </c:cat>
          <c:val>
            <c:numRef>
              <c:f>'Apr-2026'!$K$3:$K$29</c:f>
              <c:numCache>
                <c:formatCode>General</c:formatCode>
                <c:ptCount val="27"/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B7E-46A1-8C29-6AD19068FD8C}"/>
            </c:ext>
          </c:extLst>
        </c:ser>
        <c:ser>
          <c:idx val="3"/>
          <c:order val="2"/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cat>
            <c:numRef>
              <c:f>'Apr-2026'!$A$3:$A$29</c:f>
              <c:numCache>
                <c:formatCode>dd\/mm\/yyyy</c:formatCode>
                <c:ptCount val="27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</c:numCache>
            </c:numRef>
          </c:cat>
          <c:val>
            <c:numRef>
              <c:f>Monthly_Tracker!#REF!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DB7E-46A1-8C29-6AD19068FD8C}"/>
            </c:ext>
          </c:extLst>
        </c:ser>
        <c:ser>
          <c:idx val="4"/>
          <c:order val="3"/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cat>
            <c:numRef>
              <c:f>'Apr-2026'!$A$3:$A$29</c:f>
              <c:numCache>
                <c:formatCode>dd\/mm\/yyyy</c:formatCode>
                <c:ptCount val="27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</c:numCache>
            </c:numRef>
          </c:cat>
          <c:val>
            <c:numRef>
              <c:f>Monthly_Tracker!#REF!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DB7E-46A1-8C29-6AD19068F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5595903"/>
        <c:axId val="150560454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2225" cap="rnd">
                    <a:solidFill>
                      <a:schemeClr val="accent1"/>
                    </a:solidFill>
                  </a:ln>
                  <a:effectLst>
                    <a:glow rad="139700">
                      <a:schemeClr val="accent1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1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'Apr-2026'!$A$3:$A$29</c15:sqref>
                        </c15:formulaRef>
                      </c:ext>
                    </c:extLst>
                    <c:numCache>
                      <c:formatCode>dd\/mm\/yyyy</c:formatCode>
                      <c:ptCount val="27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'Apr-2026'!$J$3:$J$29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</c:numCache>
                  </c:numRef>
                </c:val>
                <c:smooth val="0"/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3-DB7E-46A1-8C29-6AD19068FD8C}"/>
                  </c:ext>
                </c:extLst>
              </c15:ser>
            </c15:filteredLineSeries>
            <c15:filteredLineSeries>
              <c15:ser>
                <c:idx val="5"/>
                <c:order val="4"/>
                <c:spPr>
                  <a:ln w="22225" cap="rnd">
                    <a:solidFill>
                      <a:schemeClr val="accent6"/>
                    </a:solidFill>
                  </a:ln>
                  <a:effectLst>
                    <a:glow rad="139700">
                      <a:schemeClr val="accent6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6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'Apr-2026'!$A$3:$A$29</c15:sqref>
                        </c15:formulaRef>
                      </c:ext>
                    </c:extLst>
                    <c:numCache>
                      <c:formatCode>dd\/mm\/yyyy</c:formatCode>
                      <c:ptCount val="27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'Apr-2026'!$O$3:$O$29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4-DB7E-46A1-8C29-6AD19068FD8C}"/>
                  </c:ext>
                </c:extLst>
              </c15:ser>
            </c15:filteredLineSeries>
            <c15:filteredLineSeries>
              <c15:ser>
                <c:idx val="6"/>
                <c:order val="5"/>
                <c:spPr>
                  <a:ln w="22225" cap="rnd">
                    <a:solidFill>
                      <a:schemeClr val="accent1">
                        <a:lumMod val="60000"/>
                      </a:schemeClr>
                    </a:solidFill>
                  </a:ln>
                  <a:effectLst>
                    <a:glow rad="139700">
                      <a:schemeClr val="accent1">
                        <a:lumMod val="6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1">
                        <a:lumMod val="6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1">
                          <a:lumMod val="6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'Apr-2026'!$A$3:$A$29</c15:sqref>
                        </c15:formulaRef>
                      </c:ext>
                    </c:extLst>
                    <c:numCache>
                      <c:formatCode>dd\/mm\/yyyy</c:formatCode>
                      <c:ptCount val="27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'Apr-2026'!$P$3:$P$29</c15:sqref>
                        </c15:formulaRef>
                      </c:ext>
                    </c:extLst>
                    <c:numCache>
                      <c:formatCode>0</c:formatCode>
                      <c:ptCount val="2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5-DB7E-46A1-8C29-6AD19068FD8C}"/>
                  </c:ext>
                </c:extLst>
              </c15:ser>
            </c15:filteredLineSeries>
            <c15:filteredLineSeries>
              <c15:ser>
                <c:idx val="7"/>
                <c:order val="6"/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</a:ln>
                  <a:effectLst>
                    <a:glow rad="139700">
                      <a:schemeClr val="accent2">
                        <a:lumMod val="6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2">
                        <a:lumMod val="6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2">
                          <a:lumMod val="6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'Apr-2026'!$A$3:$A$29</c15:sqref>
                        </c15:formulaRef>
                      </c:ext>
                    </c:extLst>
                    <c:numCache>
                      <c:formatCode>dd\/mm\/yyyy</c:formatCode>
                      <c:ptCount val="27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'Apr-2026'!$Q$3:$Q$29</c15:sqref>
                        </c15:formulaRef>
                      </c:ext>
                    </c:extLst>
                    <c:numCache>
                      <c:formatCode>General</c:formatCode>
                      <c:ptCount val="27"/>
                    </c:numCache>
                  </c:numRef>
                </c: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6-DB7E-46A1-8C29-6AD19068FD8C}"/>
                  </c:ext>
                </c:extLst>
              </c15:ser>
            </c15:filteredLineSeries>
            <c15:filteredLineSeries>
              <c15:ser>
                <c:idx val="8"/>
                <c:order val="7"/>
                <c:spPr>
                  <a:ln w="22225" cap="rnd">
                    <a:solidFill>
                      <a:schemeClr val="accent3">
                        <a:lumMod val="60000"/>
                      </a:schemeClr>
                    </a:solidFill>
                  </a:ln>
                  <a:effectLst>
                    <a:glow rad="139700">
                      <a:schemeClr val="accent3">
                        <a:lumMod val="6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3">
                        <a:lumMod val="6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3">
                          <a:lumMod val="6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'Apr-2026'!$A$3:$A$29</c15:sqref>
                        </c15:formulaRef>
                      </c:ext>
                    </c:extLst>
                    <c:numCache>
                      <c:formatCode>dd\/mm\/yyyy</c:formatCode>
                      <c:ptCount val="27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'Apr-2026'!$R$3:$R$29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7-DB7E-46A1-8C29-6AD19068FD8C}"/>
                  </c:ext>
                </c:extLst>
              </c15:ser>
            </c15:filteredLineSeries>
            <c15:filteredLineSeries>
              <c15:ser>
                <c:idx val="2"/>
                <c:order val="8"/>
                <c:spPr>
                  <a:ln w="22225" cap="rnd">
                    <a:solidFill>
                      <a:schemeClr val="accent3"/>
                    </a:solidFill>
                  </a:ln>
                  <a:effectLst>
                    <a:glow rad="139700">
                      <a:schemeClr val="accent3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3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8-DB7E-46A1-8C29-6AD19068FD8C}"/>
                  </c:ext>
                </c:extLst>
              </c15:ser>
            </c15:filteredLineSeries>
          </c:ext>
        </c:extLst>
      </c:lineChart>
      <c:dateAx>
        <c:axId val="1505595903"/>
        <c:scaling>
          <c:orientation val="minMax"/>
        </c:scaling>
        <c:delete val="0"/>
        <c:axPos val="b"/>
        <c:numFmt formatCode="dd\/mm\/yyyy" sourceLinked="1"/>
        <c:majorTickMark val="cross"/>
        <c:minorTickMark val="cross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604543"/>
        <c:crosses val="autoZero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1505604543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595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Progress by KCal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5">
                  <a:lumMod val="60000"/>
                  <a:lumOff val="40000"/>
                  <a:alpha val="19000"/>
                </a:schemeClr>
              </a:glow>
            </a:effectLst>
          </c:spPr>
          <c:marker>
            <c:symbol val="circle"/>
            <c:size val="4"/>
            <c:spPr>
              <a:pattFill prst="pct75">
                <a:fgClr>
                  <a:schemeClr val="tx1"/>
                </a:fgClr>
                <a:bgClr>
                  <a:schemeClr val="bg1"/>
                </a:bgClr>
              </a:patt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Pt>
            <c:idx val="3"/>
            <c:marker>
              <c:symbol val="circle"/>
              <c:size val="4"/>
              <c:spPr>
                <a:pattFill prst="pct75">
                  <a:fgClr>
                    <a:schemeClr val="tx1"/>
                  </a:fgClr>
                  <a:bgClr>
                    <a:schemeClr val="bg1"/>
                  </a:bgClr>
                </a:pattFill>
                <a:ln>
                  <a:noFill/>
                </a:ln>
                <a:effectLst>
                  <a:glow rad="63500">
                    <a:schemeClr val="accent1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2225" cap="rnd">
                <a:solidFill>
                  <a:schemeClr val="accent1"/>
                </a:solidFill>
              </a:ln>
              <a:effectLst>
                <a:glow rad="101600">
                  <a:srgbClr val="0070C0">
                    <a:alpha val="14000"/>
                  </a:srgb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041E-467B-9F10-3E4E67E949BC}"/>
              </c:ext>
            </c:extLst>
          </c:dPt>
          <c:cat>
            <c:numRef>
              <c:f>'Apr-2026'!$A$3:$A$29</c:f>
              <c:numCache>
                <c:formatCode>dd\/mm\/yyyy</c:formatCode>
                <c:ptCount val="27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</c:numCache>
            </c:numRef>
          </c:cat>
          <c:val>
            <c:numRef>
              <c:f>'Apr-2026'!$J$3:$J$29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041E-467B-9F10-3E4E67E949BC}"/>
            </c:ext>
          </c:extLst>
        </c:ser>
        <c:ser>
          <c:idx val="3"/>
          <c:order val="2"/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'Apr-2026'!$A$3:$A$29</c:f>
              <c:numCache>
                <c:formatCode>dd\/mm\/yyyy</c:formatCode>
                <c:ptCount val="27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</c:numCache>
            </c:numRef>
          </c:cat>
          <c:val>
            <c:numRef>
              <c:f>Monthly_Tracker!#REF!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041E-467B-9F10-3E4E67E949BC}"/>
            </c:ext>
          </c:extLst>
        </c:ser>
        <c:ser>
          <c:idx val="4"/>
          <c:order val="3"/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'Apr-2026'!$A$3:$A$29</c:f>
              <c:numCache>
                <c:formatCode>dd\/mm\/yyyy</c:formatCode>
                <c:ptCount val="27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</c:numCache>
            </c:numRef>
          </c:cat>
          <c:val>
            <c:numRef>
              <c:f>Monthly_Tracker!#REF!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041E-467B-9F10-3E4E67E94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5595903"/>
        <c:axId val="1505604543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2225" cap="rnd">
                    <a:solidFill>
                      <a:schemeClr val="accent2"/>
                    </a:solidFill>
                  </a:ln>
                  <a:effectLst>
                    <a:glow rad="139700">
                      <a:schemeClr val="accent2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'Apr-2026'!$A$3:$A$29</c15:sqref>
                        </c15:formulaRef>
                      </c:ext>
                    </c:extLst>
                    <c:numCache>
                      <c:formatCode>dd\/mm\/yyyy</c:formatCode>
                      <c:ptCount val="27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'Apr-2026'!$K$3:$K$29</c15:sqref>
                        </c15:formulaRef>
                      </c:ext>
                    </c:extLst>
                    <c:numCache>
                      <c:formatCode>General</c:formatCode>
                      <c:ptCount val="27"/>
                    </c:numCache>
                  </c:numRef>
                </c:val>
                <c:smooth val="0"/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5-041E-467B-9F10-3E4E67E949BC}"/>
                  </c:ext>
                </c:extLst>
              </c15:ser>
            </c15:filteredLineSeries>
            <c15:filteredLineSeries>
              <c15:ser>
                <c:idx val="6"/>
                <c:order val="4"/>
                <c:spPr>
                  <a:ln w="22225" cap="rnd">
                    <a:solidFill>
                      <a:schemeClr val="accent1">
                        <a:lumMod val="60000"/>
                      </a:schemeClr>
                    </a:solidFill>
                  </a:ln>
                  <a:effectLst>
                    <a:glow rad="139700">
                      <a:schemeClr val="accent1">
                        <a:lumMod val="6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'Apr-2026'!$A$3:$A$29</c15:sqref>
                        </c15:formulaRef>
                      </c:ext>
                    </c:extLst>
                    <c:numCache>
                      <c:formatCode>dd\/mm\/yyyy</c:formatCode>
                      <c:ptCount val="27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'Apr-2026'!$P$3:$P$29</c15:sqref>
                        </c15:formulaRef>
                      </c:ext>
                    </c:extLst>
                    <c:numCache>
                      <c:formatCode>0</c:formatCode>
                      <c:ptCount val="2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6-041E-467B-9F10-3E4E67E949BC}"/>
                  </c:ext>
                </c:extLst>
              </c15:ser>
            </c15:filteredLineSeries>
            <c15:filteredLineSeries>
              <c15:ser>
                <c:idx val="7"/>
                <c:order val="5"/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</a:ln>
                  <a:effectLst>
                    <a:glow rad="139700">
                      <a:schemeClr val="accent2">
                        <a:lumMod val="6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'Apr-2026'!$A$3:$A$29</c15:sqref>
                        </c15:formulaRef>
                      </c:ext>
                    </c:extLst>
                    <c:numCache>
                      <c:formatCode>dd\/mm\/yyyy</c:formatCode>
                      <c:ptCount val="27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'Apr-2026'!$Q$3:$Q$29</c15:sqref>
                        </c15:formulaRef>
                      </c:ext>
                    </c:extLst>
                    <c:numCache>
                      <c:formatCode>General</c:formatCode>
                      <c:ptCount val="27"/>
                    </c:numCache>
                  </c:numRef>
                </c: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7-041E-467B-9F10-3E4E67E949BC}"/>
                  </c:ext>
                </c:extLst>
              </c15:ser>
            </c15:filteredLineSeries>
          </c:ext>
        </c:extLst>
      </c:lineChart>
      <c:dateAx>
        <c:axId val="1505595903"/>
        <c:scaling>
          <c:orientation val="minMax"/>
        </c:scaling>
        <c:delete val="0"/>
        <c:axPos val="b"/>
        <c:numFmt formatCode="dd\/mm\/yyyy" sourceLinked="1"/>
        <c:majorTickMark val="cross"/>
        <c:minorTickMark val="cross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604543"/>
        <c:crosses val="autoZero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150560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595903"/>
        <c:crossesAt val="46027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Weekly Consistency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'Apr-2026'!$V$2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softEdge rad="0"/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1-FEED-4816-A6D8-BAE7D3FF49A4}"/>
              </c:ext>
            </c:extLst>
          </c:dPt>
          <c:cat>
            <c:strRef>
              <c:f>'Apr-2026'!$U$3:$U$6</c:f>
              <c:strCache>
                <c:ptCount val="4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</c:strCache>
            </c:strRef>
          </c:cat>
          <c:val>
            <c:numRef>
              <c:f>'Apr-2026'!$V$3:$V$6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ED-4816-A6D8-BAE7D3FF4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2393359"/>
        <c:axId val="1552404879"/>
      </c:barChart>
      <c:catAx>
        <c:axId val="155239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404879"/>
        <c:crosses val="autoZero"/>
        <c:auto val="1"/>
        <c:lblAlgn val="ctr"/>
        <c:lblOffset val="100"/>
        <c:noMultiLvlLbl val="0"/>
      </c:catAx>
      <c:valAx>
        <c:axId val="155240487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39335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590549</xdr:colOff>
      <xdr:row>15</xdr:row>
      <xdr:rowOff>119062</xdr:rowOff>
    </xdr:from>
    <xdr:to>
      <xdr:col>18</xdr:col>
      <xdr:colOff>161925</xdr:colOff>
      <xdr:row>24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C4A56-1B46-2D35-3094-5518DAABA6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581025</xdr:colOff>
      <xdr:row>6</xdr:row>
      <xdr:rowOff>85726</xdr:rowOff>
    </xdr:from>
    <xdr:to>
      <xdr:col>18</xdr:col>
      <xdr:colOff>142876</xdr:colOff>
      <xdr:row>14</xdr:row>
      <xdr:rowOff>161926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46A602-F977-AD77-78E1-0389A28B8C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285751</xdr:colOff>
      <xdr:row>6</xdr:row>
      <xdr:rowOff>85726</xdr:rowOff>
    </xdr:from>
    <xdr:to>
      <xdr:col>22</xdr:col>
      <xdr:colOff>1</xdr:colOff>
      <xdr:row>14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CE0EC2-E4CA-6434-928A-51FE0E9A07DB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723899</xdr:colOff>
      <xdr:row>16</xdr:row>
      <xdr:rowOff>185737</xdr:rowOff>
    </xdr:from>
    <xdr:to>
      <xdr:col>18</xdr:col>
      <xdr:colOff>190500</xdr:colOff>
      <xdr:row>25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1DA93F-23E5-415B-A9D8-77691A882C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9525</xdr:colOff>
      <xdr:row>8</xdr:row>
      <xdr:rowOff>28576</xdr:rowOff>
    </xdr:from>
    <xdr:to>
      <xdr:col>18</xdr:col>
      <xdr:colOff>161926</xdr:colOff>
      <xdr:row>16</xdr:row>
      <xdr:rowOff>104776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0B5965-3414-4C94-BB97-7373C99D5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257176</xdr:colOff>
      <xdr:row>8</xdr:row>
      <xdr:rowOff>19051</xdr:rowOff>
    </xdr:from>
    <xdr:to>
      <xdr:col>21</xdr:col>
      <xdr:colOff>714376</xdr:colOff>
      <xdr:row>16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16D2A7-FA66-40BF-AB00-928587F886E9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723899</xdr:colOff>
      <xdr:row>16</xdr:row>
      <xdr:rowOff>185737</xdr:rowOff>
    </xdr:from>
    <xdr:to>
      <xdr:col>18</xdr:col>
      <xdr:colOff>190500</xdr:colOff>
      <xdr:row>25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8CF939-3C1D-4D84-AA7D-31B687187B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9525</xdr:colOff>
      <xdr:row>8</xdr:row>
      <xdr:rowOff>28576</xdr:rowOff>
    </xdr:from>
    <xdr:to>
      <xdr:col>18</xdr:col>
      <xdr:colOff>161926</xdr:colOff>
      <xdr:row>16</xdr:row>
      <xdr:rowOff>104776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24EF93-BDBA-42F8-9FE2-94273368AD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257176</xdr:colOff>
      <xdr:row>8</xdr:row>
      <xdr:rowOff>19051</xdr:rowOff>
    </xdr:from>
    <xdr:to>
      <xdr:col>21</xdr:col>
      <xdr:colOff>714376</xdr:colOff>
      <xdr:row>16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874254-EBB0-4548-9A31-00EEA2841723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723899</xdr:colOff>
      <xdr:row>16</xdr:row>
      <xdr:rowOff>185737</xdr:rowOff>
    </xdr:from>
    <xdr:to>
      <xdr:col>18</xdr:col>
      <xdr:colOff>190500</xdr:colOff>
      <xdr:row>25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93993B-A758-4F56-AB66-487E443552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9525</xdr:colOff>
      <xdr:row>8</xdr:row>
      <xdr:rowOff>28576</xdr:rowOff>
    </xdr:from>
    <xdr:to>
      <xdr:col>18</xdr:col>
      <xdr:colOff>161926</xdr:colOff>
      <xdr:row>16</xdr:row>
      <xdr:rowOff>104776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ABB168-CAD9-47A8-BEE0-C0A141373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257176</xdr:colOff>
      <xdr:row>8</xdr:row>
      <xdr:rowOff>19051</xdr:rowOff>
    </xdr:from>
    <xdr:to>
      <xdr:col>21</xdr:col>
      <xdr:colOff>714376</xdr:colOff>
      <xdr:row>16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A2A592-5C60-4105-BF6C-807FE79ED627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31D605-43B4-4099-9A6B-254F891F244F}" name="Food_Master" displayName="Food_Master" ref="A2:D35" totalsRowShown="0" headerRowDxfId="39" dataDxfId="38" dataCellStyle="Normal">
  <autoFilter ref="A2:D35" xr:uid="{6B31D605-43B4-4099-9A6B-254F891F244F}"/>
  <tableColumns count="4">
    <tableColumn id="4" xr3:uid="{88D9D5E1-E48D-48F8-A0CA-0713117231C7}" name="Code" dataDxfId="37" dataCellStyle="Normal"/>
    <tableColumn id="1" xr3:uid="{4F825277-BECE-4D1E-9BB1-47673A3806E8}" name="Food" dataDxfId="36" dataCellStyle="Normal"/>
    <tableColumn id="2" xr3:uid="{F8073E3A-9AB9-432B-BE92-6718E9B7D912}" name="Portion (g)" dataDxfId="35" dataCellStyle="Normal"/>
    <tableColumn id="3" xr3:uid="{273C9557-0B59-4038-A23F-76065B14EACC}" name="Calories" dataDxfId="34" dataCellStyle="Normal"/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276179-476C-4255-8F7F-3DBB6D130AB7}" name="Table1" displayName="Table1" ref="A1:C19" totalsRowShown="0" headerRowDxfId="33" dataDxfId="32">
  <autoFilter ref="A1:C19" xr:uid="{CF276179-476C-4255-8F7F-3DBB6D130AB7}"/>
  <tableColumns count="3">
    <tableColumn id="1" xr3:uid="{DDE367A2-655E-40A4-9E0B-223155409957}" name="Food" dataDxfId="31"/>
    <tableColumn id="2" xr3:uid="{5951CBFC-D9F1-4522-ADAD-785081222C10}" name="Portion (g)" dataDxfId="30"/>
    <tableColumn id="3" xr3:uid="{D6D3DC41-F88F-4B84-81C6-3FE91D2A9616}" name="Calories" dataDxfId="2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FB7FCF-7E4A-45E1-9320-A8B38F9606F9}" name="Table2" displayName="Table2" ref="K2:M7" totalsRowShown="0" headerRowBorderDxfId="28" tableBorderDxfId="27" totalsRowBorderDxfId="26">
  <autoFilter ref="K2:M7" xr:uid="{FFFB7FCF-7E4A-45E1-9320-A8B38F9606F9}"/>
  <tableColumns count="3">
    <tableColumn id="1" xr3:uid="{A7814B20-3F80-41B5-9F67-6CC47BD2C59E}" name="Breakfast" dataDxfId="25"/>
    <tableColumn id="2" xr3:uid="{1EFF904C-AFE8-4771-A74E-DB2F23776F27}" name="Portion (g)" dataDxfId="24"/>
    <tableColumn id="3" xr3:uid="{C89C2EB4-D424-45CF-B042-C3A40180249B}" name="Calories" dataDxfId="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37B49F-08F9-4A82-890C-AA710C409D4A}" name="Table4" displayName="Table4" ref="K12:M16" totalsRowShown="0" headerRowDxfId="22" headerRowBorderDxfId="21" tableBorderDxfId="20" totalsRowBorderDxfId="19">
  <autoFilter ref="K12:M16" xr:uid="{3D37B49F-08F9-4A82-890C-AA710C409D4A}"/>
  <tableColumns count="3">
    <tableColumn id="1" xr3:uid="{6666A695-BF42-4BAD-8717-2F8599220460}" name="Snack" dataDxfId="18"/>
    <tableColumn id="2" xr3:uid="{121E9725-BA69-453A-BED0-49B864A3B2F8}" name="Portion (g)" dataDxfId="17"/>
    <tableColumn id="3" xr3:uid="{E6A40AE1-552A-4EE6-9AE3-5BE90F5846A7}" name="Calories" data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643D916-617E-460D-A572-19B488E446C9}" name="Table5" displayName="Table5" ref="K19:M24" totalsRowShown="0" headerRowDxfId="15" headerRowBorderDxfId="14" tableBorderDxfId="13" totalsRowBorderDxfId="12">
  <autoFilter ref="K19:M24" xr:uid="{E643D916-617E-460D-A572-19B488E446C9}"/>
  <tableColumns count="3">
    <tableColumn id="1" xr3:uid="{AD1FB832-EEA4-465C-B312-F22333E11282}" name="Lunch" dataDxfId="11"/>
    <tableColumn id="2" xr3:uid="{53E2BDD2-42E2-47A2-897D-D9096372864C}" name="Portion (g)" dataDxfId="10"/>
    <tableColumn id="3" xr3:uid="{B04F1436-3331-49FD-A8E8-922F87D2ACD7}" name="Calories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413198-429F-45BF-ABA5-209741ECB99E}" name="Table6" displayName="Table6" ref="K28:M30" totalsRowShown="0" headerRowBorderDxfId="8" tableBorderDxfId="7" totalsRowBorderDxfId="6">
  <autoFilter ref="K28:M30" xr:uid="{46413198-429F-45BF-ABA5-209741ECB99E}"/>
  <tableColumns count="3">
    <tableColumn id="1" xr3:uid="{8ACB52CC-238C-41A8-87CC-8E6F31073429}" name="Dinner"/>
    <tableColumn id="2" xr3:uid="{A21016EF-9254-43E6-9373-259AE68D5F53}" name="Portion (g)" dataDxfId="5"/>
    <tableColumn id="3" xr3:uid="{9FAD1357-BE72-400A-8F14-F3E75926F532}" name="Calories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98137-D660-458B-8EAF-D6026306A3C9}">
  <dimension ref="A1:R35"/>
  <sheetViews>
    <sheetView topLeftCell="A7" workbookViewId="0">
      <selection activeCell="B35" sqref="B35"/>
    </sheetView>
  </sheetViews>
  <sheetFormatPr defaultRowHeight="15" x14ac:dyDescent="0.25"/>
  <cols>
    <col min="1" max="1" width="16.140625" bestFit="1" customWidth="1"/>
    <col min="2" max="5" width="16.28515625" bestFit="1" customWidth="1"/>
    <col min="6" max="6" width="11.28515625" bestFit="1" customWidth="1"/>
    <col min="7" max="7" width="20.5703125" customWidth="1"/>
    <col min="8" max="8" width="10.85546875" customWidth="1"/>
    <col min="11" max="11" width="12.140625" customWidth="1"/>
    <col min="12" max="12" width="14.42578125" customWidth="1"/>
    <col min="13" max="13" width="18" customWidth="1"/>
    <col min="14" max="14" width="11.7109375" customWidth="1"/>
    <col min="15" max="15" width="10.140625" customWidth="1"/>
    <col min="16" max="16" width="13.28515625" customWidth="1"/>
    <col min="17" max="17" width="10" customWidth="1"/>
  </cols>
  <sheetData>
    <row r="1" spans="1:18" ht="23.25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20.25" x14ac:dyDescent="0.25">
      <c r="A2" s="25" t="s">
        <v>80</v>
      </c>
      <c r="B2" s="25" t="s">
        <v>41</v>
      </c>
      <c r="C2" s="25" t="s">
        <v>7</v>
      </c>
      <c r="D2" s="25" t="s">
        <v>8</v>
      </c>
    </row>
    <row r="3" spans="1:18" x14ac:dyDescent="0.25">
      <c r="A3" s="1" t="s">
        <v>59</v>
      </c>
      <c r="B3" s="1" t="s">
        <v>81</v>
      </c>
      <c r="C3" s="1">
        <v>1</v>
      </c>
      <c r="D3" s="1">
        <v>170</v>
      </c>
    </row>
    <row r="4" spans="1:18" x14ac:dyDescent="0.25">
      <c r="A4" s="1" t="s">
        <v>60</v>
      </c>
      <c r="B4" s="1" t="s">
        <v>46</v>
      </c>
      <c r="C4" s="1" t="s">
        <v>9</v>
      </c>
      <c r="D4" s="1">
        <v>160</v>
      </c>
    </row>
    <row r="5" spans="1:18" x14ac:dyDescent="0.25">
      <c r="A5" s="1" t="s">
        <v>62</v>
      </c>
      <c r="B5" s="1" t="s">
        <v>12</v>
      </c>
      <c r="C5" s="1" t="s">
        <v>11</v>
      </c>
      <c r="D5" s="1">
        <v>280</v>
      </c>
    </row>
    <row r="6" spans="1:18" x14ac:dyDescent="0.25">
      <c r="A6" s="1" t="s">
        <v>68</v>
      </c>
      <c r="B6" s="1" t="s">
        <v>21</v>
      </c>
      <c r="C6" s="1" t="s">
        <v>11</v>
      </c>
      <c r="D6" s="1">
        <v>60</v>
      </c>
    </row>
    <row r="7" spans="1:18" x14ac:dyDescent="0.25">
      <c r="A7" s="1" t="s">
        <v>63</v>
      </c>
      <c r="B7" s="1" t="s">
        <v>38</v>
      </c>
      <c r="C7" s="1" t="s">
        <v>43</v>
      </c>
      <c r="D7" s="1">
        <v>210</v>
      </c>
    </row>
    <row r="8" spans="1:18" x14ac:dyDescent="0.25">
      <c r="A8" s="1" t="s">
        <v>72</v>
      </c>
      <c r="B8" s="1" t="s">
        <v>37</v>
      </c>
      <c r="C8" s="1" t="s">
        <v>42</v>
      </c>
      <c r="D8" s="1">
        <v>220</v>
      </c>
    </row>
    <row r="9" spans="1:18" x14ac:dyDescent="0.25">
      <c r="A9" s="1" t="s">
        <v>73</v>
      </c>
      <c r="B9" s="1" t="s">
        <v>39</v>
      </c>
      <c r="C9" s="1" t="s">
        <v>40</v>
      </c>
      <c r="D9" s="1">
        <v>120</v>
      </c>
    </row>
    <row r="10" spans="1:18" x14ac:dyDescent="0.25">
      <c r="A10" s="1" t="s">
        <v>64</v>
      </c>
      <c r="B10" s="1" t="s">
        <v>23</v>
      </c>
      <c r="C10" s="1" t="s">
        <v>11</v>
      </c>
      <c r="D10" s="1">
        <v>100</v>
      </c>
    </row>
    <row r="11" spans="1:18" x14ac:dyDescent="0.25">
      <c r="A11" s="1" t="s">
        <v>69</v>
      </c>
      <c r="B11" s="1" t="s">
        <v>24</v>
      </c>
      <c r="C11" s="1" t="s">
        <v>45</v>
      </c>
      <c r="D11" s="1">
        <v>60</v>
      </c>
    </row>
    <row r="12" spans="1:18" x14ac:dyDescent="0.25">
      <c r="A12" s="1" t="s">
        <v>82</v>
      </c>
      <c r="B12" s="1" t="s">
        <v>58</v>
      </c>
      <c r="C12" s="1" t="s">
        <v>13</v>
      </c>
      <c r="D12" s="1">
        <v>160</v>
      </c>
    </row>
    <row r="13" spans="1:18" x14ac:dyDescent="0.25">
      <c r="A13" s="1" t="s">
        <v>74</v>
      </c>
      <c r="B13" s="1" t="s">
        <v>26</v>
      </c>
      <c r="C13" s="1" t="s">
        <v>27</v>
      </c>
      <c r="D13" s="1">
        <v>30</v>
      </c>
    </row>
    <row r="14" spans="1:18" x14ac:dyDescent="0.25">
      <c r="A14" s="1" t="s">
        <v>65</v>
      </c>
      <c r="B14" s="1" t="s">
        <v>16</v>
      </c>
      <c r="C14" s="1" t="s">
        <v>17</v>
      </c>
      <c r="D14" s="1">
        <v>200</v>
      </c>
    </row>
    <row r="15" spans="1:18" x14ac:dyDescent="0.25">
      <c r="A15" s="1" t="s">
        <v>75</v>
      </c>
      <c r="B15" s="1" t="s">
        <v>18</v>
      </c>
      <c r="C15" s="1" t="s">
        <v>17</v>
      </c>
      <c r="D15" s="1">
        <v>200</v>
      </c>
    </row>
    <row r="16" spans="1:18" x14ac:dyDescent="0.25">
      <c r="A16" s="1" t="s">
        <v>70</v>
      </c>
      <c r="B16" s="1" t="s">
        <v>19</v>
      </c>
      <c r="C16" s="1" t="s">
        <v>13</v>
      </c>
      <c r="D16" s="1">
        <v>260</v>
      </c>
    </row>
    <row r="17" spans="1:4" x14ac:dyDescent="0.25">
      <c r="A17" s="1" t="s">
        <v>71</v>
      </c>
      <c r="B17" s="1" t="s">
        <v>20</v>
      </c>
      <c r="C17" s="1" t="s">
        <v>13</v>
      </c>
      <c r="D17" s="1">
        <v>130</v>
      </c>
    </row>
    <row r="18" spans="1:4" x14ac:dyDescent="0.25">
      <c r="A18" s="1" t="s">
        <v>76</v>
      </c>
      <c r="B18" s="1" t="s">
        <v>29</v>
      </c>
      <c r="C18" s="1" t="s">
        <v>30</v>
      </c>
      <c r="D18" s="1">
        <v>90</v>
      </c>
    </row>
    <row r="19" spans="1:4" x14ac:dyDescent="0.25">
      <c r="A19" s="1" t="s">
        <v>77</v>
      </c>
      <c r="B19" s="1" t="s">
        <v>48</v>
      </c>
      <c r="C19" s="1" t="s">
        <v>13</v>
      </c>
      <c r="D19" s="1">
        <v>98</v>
      </c>
    </row>
    <row r="20" spans="1:4" x14ac:dyDescent="0.25">
      <c r="A20" s="1" t="s">
        <v>66</v>
      </c>
      <c r="B20" s="1" t="s">
        <v>51</v>
      </c>
      <c r="C20" s="1" t="s">
        <v>45</v>
      </c>
      <c r="D20" s="1">
        <v>88</v>
      </c>
    </row>
    <row r="21" spans="1:4" x14ac:dyDescent="0.25">
      <c r="A21" s="1" t="s">
        <v>67</v>
      </c>
      <c r="B21" s="1" t="s">
        <v>52</v>
      </c>
      <c r="C21" s="1" t="s">
        <v>45</v>
      </c>
      <c r="D21" s="1">
        <v>40</v>
      </c>
    </row>
    <row r="22" spans="1:4" x14ac:dyDescent="0.25">
      <c r="A22" s="1" t="s">
        <v>78</v>
      </c>
      <c r="B22" s="1" t="s">
        <v>54</v>
      </c>
      <c r="C22" s="1" t="s">
        <v>53</v>
      </c>
      <c r="D22" s="1">
        <v>60</v>
      </c>
    </row>
    <row r="23" spans="1:4" x14ac:dyDescent="0.25">
      <c r="A23" s="1" t="s">
        <v>79</v>
      </c>
      <c r="B23" s="1" t="s">
        <v>55</v>
      </c>
      <c r="C23" s="1" t="s">
        <v>40</v>
      </c>
      <c r="D23" s="1">
        <v>75</v>
      </c>
    </row>
    <row r="24" spans="1:4" x14ac:dyDescent="0.25">
      <c r="A24" s="1" t="s">
        <v>61</v>
      </c>
      <c r="B24" s="1" t="s">
        <v>56</v>
      </c>
      <c r="C24" s="1" t="s">
        <v>57</v>
      </c>
      <c r="D24" s="1">
        <v>90</v>
      </c>
    </row>
    <row r="25" spans="1:4" x14ac:dyDescent="0.25">
      <c r="A25" s="1" t="s">
        <v>84</v>
      </c>
      <c r="B25" s="1" t="s">
        <v>83</v>
      </c>
      <c r="C25" s="1" t="s">
        <v>13</v>
      </c>
      <c r="D25" s="1">
        <v>200</v>
      </c>
    </row>
    <row r="26" spans="1:4" x14ac:dyDescent="0.25">
      <c r="A26" s="1" t="s">
        <v>90</v>
      </c>
      <c r="B26" s="1" t="s">
        <v>91</v>
      </c>
      <c r="C26" s="1" t="s">
        <v>92</v>
      </c>
      <c r="D26" s="1">
        <v>610</v>
      </c>
    </row>
    <row r="27" spans="1:4" x14ac:dyDescent="0.25">
      <c r="A27" s="1" t="s">
        <v>94</v>
      </c>
      <c r="B27" s="1" t="s">
        <v>95</v>
      </c>
      <c r="C27" s="1" t="s">
        <v>43</v>
      </c>
      <c r="D27" s="1">
        <v>230</v>
      </c>
    </row>
    <row r="28" spans="1:4" x14ac:dyDescent="0.25">
      <c r="A28" s="1" t="s">
        <v>98</v>
      </c>
      <c r="B28" s="1" t="s">
        <v>99</v>
      </c>
      <c r="C28" s="1">
        <v>40</v>
      </c>
      <c r="D28" s="1">
        <v>110</v>
      </c>
    </row>
    <row r="29" spans="1:4" x14ac:dyDescent="0.25">
      <c r="A29" s="1" t="s">
        <v>100</v>
      </c>
      <c r="B29" s="1" t="s">
        <v>101</v>
      </c>
      <c r="C29" s="1">
        <v>50</v>
      </c>
      <c r="D29" s="1">
        <v>60</v>
      </c>
    </row>
    <row r="30" spans="1:4" x14ac:dyDescent="0.25">
      <c r="A30" s="1" t="s">
        <v>110</v>
      </c>
      <c r="B30" s="1" t="s">
        <v>109</v>
      </c>
      <c r="C30" s="1">
        <v>0</v>
      </c>
      <c r="D30" s="1">
        <v>0</v>
      </c>
    </row>
    <row r="31" spans="1:4" x14ac:dyDescent="0.25">
      <c r="A31" s="1" t="s">
        <v>122</v>
      </c>
      <c r="B31" s="1" t="s">
        <v>121</v>
      </c>
      <c r="C31" s="1" t="s">
        <v>125</v>
      </c>
      <c r="D31" s="1">
        <v>700</v>
      </c>
    </row>
    <row r="32" spans="1:4" x14ac:dyDescent="0.25">
      <c r="A32" s="1" t="s">
        <v>126</v>
      </c>
      <c r="B32" s="1" t="s">
        <v>123</v>
      </c>
      <c r="C32" s="1" t="s">
        <v>124</v>
      </c>
      <c r="D32" s="1">
        <v>320</v>
      </c>
    </row>
    <row r="33" spans="1:4" x14ac:dyDescent="0.25">
      <c r="A33" s="1" t="s">
        <v>130</v>
      </c>
      <c r="B33" s="1" t="s">
        <v>129</v>
      </c>
      <c r="C33" s="1" t="s">
        <v>131</v>
      </c>
      <c r="D33" s="1">
        <v>160</v>
      </c>
    </row>
    <row r="34" spans="1:4" x14ac:dyDescent="0.25">
      <c r="A34" s="1" t="s">
        <v>134</v>
      </c>
      <c r="B34" s="1" t="s">
        <v>133</v>
      </c>
      <c r="C34" s="1" t="s">
        <v>136</v>
      </c>
      <c r="D34" s="1">
        <v>40</v>
      </c>
    </row>
    <row r="35" spans="1:4" x14ac:dyDescent="0.25">
      <c r="A35" s="1" t="s">
        <v>137</v>
      </c>
      <c r="B35" s="1" t="s">
        <v>135</v>
      </c>
      <c r="C35" s="1" t="s">
        <v>131</v>
      </c>
      <c r="D35" s="1">
        <v>80</v>
      </c>
    </row>
  </sheetData>
  <sheetProtection formatRows="0" insertRows="0"/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20F3-7D66-49B9-8B65-F6257F6E9136}">
  <dimension ref="A1:V33"/>
  <sheetViews>
    <sheetView tabSelected="1" workbookViewId="0">
      <pane ySplit="2" topLeftCell="A3" activePane="bottomLeft" state="frozen"/>
      <selection pane="bottomLeft" activeCell="K14" sqref="K14"/>
    </sheetView>
  </sheetViews>
  <sheetFormatPr defaultRowHeight="15" x14ac:dyDescent="0.25"/>
  <cols>
    <col min="1" max="1" width="11.85546875" style="26" bestFit="1" customWidth="1"/>
    <col min="2" max="2" width="11.42578125" bestFit="1" customWidth="1"/>
    <col min="3" max="3" width="16.28515625" style="26" bestFit="1" customWidth="1"/>
    <col min="4" max="4" width="16.140625" style="26" bestFit="1" customWidth="1"/>
    <col min="5" max="5" width="11.140625" style="26" customWidth="1"/>
    <col min="6" max="6" width="9.7109375" style="26" bestFit="1" customWidth="1"/>
    <col min="7" max="7" width="12.42578125" style="26" customWidth="1"/>
    <col min="8" max="8" width="19.140625" style="26" bestFit="1" customWidth="1"/>
    <col min="9" max="9" width="13.7109375" style="26" bestFit="1" customWidth="1"/>
    <col min="10" max="10" width="15.5703125" style="26" customWidth="1"/>
    <col min="11" max="11" width="14" bestFit="1" customWidth="1"/>
    <col min="12" max="12" width="9.5703125" style="11" hidden="1" customWidth="1"/>
    <col min="13" max="13" width="10.85546875" style="11" customWidth="1"/>
    <col min="14" max="14" width="8.85546875" customWidth="1"/>
    <col min="15" max="15" width="11" customWidth="1"/>
    <col min="16" max="16" width="11.28515625" customWidth="1"/>
    <col min="17" max="17" width="7.42578125" customWidth="1"/>
    <col min="18" max="18" width="11" customWidth="1"/>
    <col min="19" max="19" width="12.140625" customWidth="1"/>
    <col min="20" max="20" width="7.140625" customWidth="1"/>
    <col min="21" max="21" width="11.5703125" customWidth="1"/>
    <col min="22" max="22" width="11.140625" customWidth="1"/>
  </cols>
  <sheetData>
    <row r="1" spans="1:22" s="70" customFormat="1" ht="26.25" customHeight="1" x14ac:dyDescent="0.25">
      <c r="A1" s="85" t="s">
        <v>116</v>
      </c>
      <c r="C1" s="80">
        <v>46023</v>
      </c>
      <c r="N1"/>
    </row>
    <row r="2" spans="1:22" ht="40.5" customHeight="1" x14ac:dyDescent="0.35">
      <c r="A2" s="67" t="s">
        <v>50</v>
      </c>
      <c r="B2" s="68" t="s">
        <v>0</v>
      </c>
      <c r="C2" s="67" t="s">
        <v>32</v>
      </c>
      <c r="D2" s="67" t="s">
        <v>1</v>
      </c>
      <c r="E2" s="67" t="s">
        <v>2</v>
      </c>
      <c r="F2" s="67" t="s">
        <v>3</v>
      </c>
      <c r="G2" s="67" t="s">
        <v>4</v>
      </c>
      <c r="H2" s="67" t="s">
        <v>5</v>
      </c>
      <c r="I2" s="67" t="s">
        <v>6</v>
      </c>
      <c r="J2" s="67" t="s">
        <v>112</v>
      </c>
      <c r="K2" s="67" t="s">
        <v>105</v>
      </c>
      <c r="L2" s="67" t="s">
        <v>115</v>
      </c>
      <c r="M2" s="69"/>
      <c r="O2" s="72" t="s">
        <v>49</v>
      </c>
      <c r="P2" s="72"/>
      <c r="R2" s="74" t="s">
        <v>107</v>
      </c>
      <c r="S2" s="73"/>
      <c r="U2" s="75" t="s">
        <v>106</v>
      </c>
      <c r="V2" s="71"/>
    </row>
    <row r="3" spans="1:22" ht="30" x14ac:dyDescent="0.25">
      <c r="A3" s="62">
        <f>IF(ROW()-ROW($A$3)+1&gt;DAY(EOMONTH($C$1,0)),"",$C$1+ROW()-ROW($A$3))</f>
        <v>46023</v>
      </c>
      <c r="B3" s="24">
        <f>IFERROR(WEEKDAY(A3,2), "")</f>
        <v>4</v>
      </c>
      <c r="C3" s="24" t="s">
        <v>110</v>
      </c>
      <c r="D3" s="24" t="s">
        <v>85</v>
      </c>
      <c r="E3" s="24" t="s">
        <v>88</v>
      </c>
      <c r="F3" s="24" t="s">
        <v>87</v>
      </c>
      <c r="G3" s="24" t="s">
        <v>118</v>
      </c>
      <c r="H3" s="24" t="str">
        <f t="shared" ref="H3:H10" si="0">IF(J3="","",IF(J3&lt;=1500,"OK","Too High"))</f>
        <v>Too High</v>
      </c>
      <c r="I3" s="24" t="s">
        <v>47</v>
      </c>
      <c r="J3" s="24" cm="1">
        <f t="array" ref="J3">IF(
 COUNTA(C3:G3)=0,
 "",
 SUM(
  _xlfn.XLOOKUP(
   TRIM(
    _xlfn.TEXTSPLIT(
     SUBSTITUTE(C3&amp;","&amp;D3&amp;","&amp;E3&amp;","&amp;F3&amp;","&amp;G3,CHAR(10),""),
     ","
    )
   ),
   Food_Master[Code],
   Food_Master[Calories],
   0
  )
 )
)</f>
        <v>1623</v>
      </c>
      <c r="K3" s="24">
        <v>87</v>
      </c>
      <c r="L3" s="11" t="str">
        <f>IFERROR("Week"&amp;INT((DAY(A3)-1)/7)+1, "")</f>
        <v>Week1</v>
      </c>
      <c r="O3" s="76" t="str" cm="1">
        <f t="array" ref="O3:O6">_xlfn.UNIQUE(L3:L29)</f>
        <v>Week1</v>
      </c>
      <c r="P3" s="66">
        <f>IF(COUNTA(J3:J9)=0,0,AVERAGE(J3:J9))</f>
        <v>1371.7142857142858</v>
      </c>
      <c r="Q3" s="1"/>
      <c r="R3" s="76" t="str" cm="1">
        <f t="array" ref="R3:R6">_xlfn.UNIQUE(L3:L29)</f>
        <v>Week1</v>
      </c>
      <c r="S3" s="77">
        <f>IFERROR(AVERAGE(K3:K9),"")</f>
        <v>86.785714285714292</v>
      </c>
      <c r="T3" s="1"/>
      <c r="U3" s="76" t="str" cm="1">
        <f t="array" ref="U3:U6">_xlfn.UNIQUE(L3:L29)</f>
        <v>Week1</v>
      </c>
      <c r="V3" s="78">
        <f>IF(COUNTA(J3:J9)=0,0,COUNTIFS(J3:J9,"&gt;0",K3:K9,"&gt;0")/7)</f>
        <v>1</v>
      </c>
    </row>
    <row r="4" spans="1:22" ht="30" x14ac:dyDescent="0.25">
      <c r="A4" s="62">
        <f t="shared" ref="A4:A33" si="1">IF(ROW()-ROW($A$3)+1&gt;DAY(EOMONTH($C$1,0)),"",$C$1+ROW()-ROW($A$3))</f>
        <v>46024</v>
      </c>
      <c r="B4" s="24">
        <f t="shared" ref="B4:B33" si="2">IFERROR(WEEKDAY(A4,2), "")</f>
        <v>5</v>
      </c>
      <c r="C4" s="24" t="s">
        <v>110</v>
      </c>
      <c r="D4" s="24" t="s">
        <v>63</v>
      </c>
      <c r="E4" s="24" t="s">
        <v>93</v>
      </c>
      <c r="F4" s="24" t="s">
        <v>89</v>
      </c>
      <c r="G4" s="24" t="s">
        <v>72</v>
      </c>
      <c r="H4" s="24" t="str">
        <f t="shared" si="0"/>
        <v>OK</v>
      </c>
      <c r="I4" s="24" t="s">
        <v>47</v>
      </c>
      <c r="J4" s="24" cm="1">
        <f t="array" ref="J4">IF(
 COUNTA(C4:G4)=0,
 "",
 SUM(
  _xlfn.XLOOKUP(
   TRIM(
    _xlfn.TEXTSPLIT(
     SUBSTITUTE(C4&amp;","&amp;D4&amp;","&amp;E4&amp;","&amp;F4&amp;","&amp;G4,CHAR(10),""),
     ","
    )
   ),
   Food_Master[Code],
   Food_Master[Calories],
   0
  )
 )
)</f>
        <v>1323</v>
      </c>
      <c r="K4" s="24">
        <v>87</v>
      </c>
      <c r="L4" s="11" t="str">
        <f t="shared" ref="L4:L33" si="3">IFERROR("Week"&amp;INT((DAY(A4)-1)/7)+1, "")</f>
        <v>Week1</v>
      </c>
      <c r="O4" s="76" t="str">
        <v>Week2</v>
      </c>
      <c r="P4" s="66">
        <f>IF(COUNTIF(J10:J16,"&gt;0")=0,"",AVERAGEIF(J10:J16,"&gt;0"))</f>
        <v>1309.5999999999999</v>
      </c>
      <c r="Q4" s="1"/>
      <c r="R4" s="76" t="str">
        <v>Week2</v>
      </c>
      <c r="S4" s="79">
        <f>IFERROR(AVERAGE(K10:K16),"")</f>
        <v>86.5</v>
      </c>
      <c r="T4" s="1"/>
      <c r="U4" s="76" t="str">
        <v>Week2</v>
      </c>
      <c r="V4" s="78">
        <f>IF(COUNTA(J10:J16)=0,0,COUNTIFS(J10:J16,"&gt;0",K10:K16,"&gt;0")/7)</f>
        <v>0.7142857142857143</v>
      </c>
    </row>
    <row r="5" spans="1:22" x14ac:dyDescent="0.25">
      <c r="A5" s="62">
        <f t="shared" si="1"/>
        <v>46025</v>
      </c>
      <c r="B5" s="24">
        <f t="shared" si="2"/>
        <v>6</v>
      </c>
      <c r="C5" s="24" t="s">
        <v>110</v>
      </c>
      <c r="D5" s="24" t="s">
        <v>96</v>
      </c>
      <c r="E5" s="24" t="s">
        <v>97</v>
      </c>
      <c r="F5" s="24" t="s">
        <v>102</v>
      </c>
      <c r="G5" s="24" t="s">
        <v>103</v>
      </c>
      <c r="H5" s="24" t="str">
        <f t="shared" si="0"/>
        <v>OK</v>
      </c>
      <c r="I5" s="24" t="s">
        <v>111</v>
      </c>
      <c r="J5" s="24" cm="1">
        <f t="array" ref="J5">IF(
 COUNTA(C5:G5)=0,
 "",
 SUM(
  _xlfn.XLOOKUP(
   TRIM(
    _xlfn.TEXTSPLIT(
     SUBSTITUTE(C5&amp;","&amp;D5&amp;","&amp;E5&amp;","&amp;F5&amp;","&amp;G5,CHAR(10),""),
     ","
    )
   ),
   Food_Master[Code],
   Food_Master[Calories],
   0
  )
 )
)</f>
        <v>1075</v>
      </c>
      <c r="K5" s="24">
        <v>87</v>
      </c>
      <c r="L5" s="11" t="str">
        <f t="shared" si="3"/>
        <v>Week1</v>
      </c>
      <c r="O5" s="76" t="str">
        <v>Week3</v>
      </c>
      <c r="P5" s="66" t="str">
        <f>IF(COUNTIF(J17:J23,"&gt;0")=0,"",AVERAGEIF(J17:J23,"&gt;0"))</f>
        <v/>
      </c>
      <c r="Q5" s="1"/>
      <c r="R5" s="76" t="str">
        <v>Week3</v>
      </c>
      <c r="S5" s="79" t="str">
        <f>IFERROR(AVERAGE(K17:K23),"")</f>
        <v/>
      </c>
      <c r="T5" s="1"/>
      <c r="U5" s="76" t="str">
        <v>Week3</v>
      </c>
      <c r="V5" s="78">
        <f>IF(COUNTA(J17:J23)=0,0,COUNTIFS(J17:J23,"&gt;0",K17:K23,"&gt;0")/7)</f>
        <v>0</v>
      </c>
    </row>
    <row r="6" spans="1:22" ht="30" x14ac:dyDescent="0.25">
      <c r="A6" s="62">
        <f t="shared" si="1"/>
        <v>46026</v>
      </c>
      <c r="B6" s="24">
        <f t="shared" si="2"/>
        <v>7</v>
      </c>
      <c r="C6" s="24" t="s">
        <v>110</v>
      </c>
      <c r="D6" s="24" t="s">
        <v>104</v>
      </c>
      <c r="E6" s="24" t="s">
        <v>108</v>
      </c>
      <c r="F6" s="24" t="s">
        <v>113</v>
      </c>
      <c r="G6" s="24" t="s">
        <v>117</v>
      </c>
      <c r="H6" s="24" t="str">
        <f t="shared" si="0"/>
        <v>OK</v>
      </c>
      <c r="I6" s="24" t="s">
        <v>111</v>
      </c>
      <c r="J6" s="24" cm="1">
        <f t="array" ref="J6">IF(
 COUNTA(C6:G6)=0,
 "",
 SUM(
  _xlfn.XLOOKUP(
   TRIM(
    _xlfn.TEXTSPLIT(
     SUBSTITUTE(C6&amp;","&amp;D6&amp;","&amp;E6&amp;","&amp;F6&amp;","&amp;G6,CHAR(10),""),
     ","
    )
   ),
   Food_Master[Code],
   Food_Master[Calories],
   0
  )
 )
)</f>
        <v>1380</v>
      </c>
      <c r="K6" s="24">
        <v>86.5</v>
      </c>
      <c r="L6" s="11" t="str">
        <f t="shared" si="3"/>
        <v>Week1</v>
      </c>
      <c r="O6" s="76" t="str">
        <v>Week4</v>
      </c>
      <c r="P6" s="66" t="str">
        <f>IF(COUNTIF(J24:J29,"&gt;0")=0,"",AVERAGEIF(J24:J29,"&gt;0"))</f>
        <v/>
      </c>
      <c r="Q6" s="1"/>
      <c r="R6" s="76" t="str">
        <v>Week4</v>
      </c>
      <c r="S6" s="79" t="str">
        <f>IFERROR(AVERAGE(K24:K29),"")</f>
        <v/>
      </c>
      <c r="T6" s="1"/>
      <c r="U6" s="76" t="str">
        <v>Week4</v>
      </c>
      <c r="V6" s="78">
        <f>IF(COUNTA(J24:J29)=0,0,COUNTIFS(J24:J29,"&gt;0",K24:K29,"&gt;0")/7)</f>
        <v>0</v>
      </c>
    </row>
    <row r="7" spans="1:22" ht="30" x14ac:dyDescent="0.25">
      <c r="A7" s="62">
        <f t="shared" si="1"/>
        <v>46027</v>
      </c>
      <c r="B7" s="24">
        <f t="shared" si="2"/>
        <v>1</v>
      </c>
      <c r="C7" s="24" t="s">
        <v>110</v>
      </c>
      <c r="D7" s="24" t="s">
        <v>85</v>
      </c>
      <c r="E7" s="24" t="s">
        <v>88</v>
      </c>
      <c r="F7" s="24" t="s">
        <v>87</v>
      </c>
      <c r="G7" s="24" t="s">
        <v>86</v>
      </c>
      <c r="H7" s="24" t="str">
        <f t="shared" si="0"/>
        <v>OK</v>
      </c>
      <c r="I7" s="24" t="s">
        <v>47</v>
      </c>
      <c r="J7" s="24" cm="1">
        <f t="array" ref="J7">IF(
 COUNTA(C7:G7)=0,
 "",
 SUM(
  _xlfn.XLOOKUP(
   TRIM(
    _xlfn.TEXTSPLIT(
     SUBSTITUTE(C7&amp;","&amp;D7&amp;","&amp;E7&amp;","&amp;F7&amp;","&amp;G7,CHAR(10),""),
     ","
    )
   ),
   Food_Master[Code],
   Food_Master[Calories],
   0
  )
 )
)</f>
        <v>1413</v>
      </c>
      <c r="K7" s="24">
        <v>87</v>
      </c>
      <c r="L7" s="11" t="str">
        <f t="shared" si="3"/>
        <v>Week1</v>
      </c>
    </row>
    <row r="8" spans="1:22" ht="30" x14ac:dyDescent="0.25">
      <c r="A8" s="62">
        <f t="shared" si="1"/>
        <v>46028</v>
      </c>
      <c r="B8" s="24">
        <f t="shared" si="2"/>
        <v>2</v>
      </c>
      <c r="C8" s="24" t="s">
        <v>110</v>
      </c>
      <c r="D8" s="24" t="s">
        <v>63</v>
      </c>
      <c r="E8" s="24" t="s">
        <v>93</v>
      </c>
      <c r="F8" s="24" t="s">
        <v>89</v>
      </c>
      <c r="G8" s="24" t="s">
        <v>90</v>
      </c>
      <c r="H8" s="24" t="str">
        <f t="shared" si="0"/>
        <v>Too High</v>
      </c>
      <c r="I8" s="24" t="s">
        <v>47</v>
      </c>
      <c r="J8" s="24" cm="1">
        <f t="array" ref="J8">IF(
 COUNTA(C8:G8)=0,
 "",
 SUM(
  _xlfn.XLOOKUP(
   TRIM(
    _xlfn.TEXTSPLIT(
     SUBSTITUTE(C8&amp;","&amp;D8&amp;","&amp;E8&amp;","&amp;F8&amp;","&amp;G8,CHAR(10),""),
     ","
    )
   ),
   Food_Master[Code],
   Food_Master[Calories],
   0
  )
 )
)</f>
        <v>1713</v>
      </c>
      <c r="K8" s="24">
        <v>87</v>
      </c>
      <c r="L8" s="11" t="str">
        <f t="shared" si="3"/>
        <v>Week1</v>
      </c>
    </row>
    <row r="9" spans="1:22" x14ac:dyDescent="0.25">
      <c r="A9" s="62">
        <f t="shared" si="1"/>
        <v>46029</v>
      </c>
      <c r="B9" s="24">
        <f t="shared" si="2"/>
        <v>3</v>
      </c>
      <c r="C9" s="24" t="s">
        <v>110</v>
      </c>
      <c r="D9" s="24" t="s">
        <v>96</v>
      </c>
      <c r="E9" s="24" t="s">
        <v>97</v>
      </c>
      <c r="F9" s="24" t="s">
        <v>102</v>
      </c>
      <c r="G9" s="24" t="s">
        <v>103</v>
      </c>
      <c r="H9" s="24" t="str">
        <f t="shared" si="0"/>
        <v>OK</v>
      </c>
      <c r="I9" s="24" t="s">
        <v>111</v>
      </c>
      <c r="J9" s="24" cm="1">
        <f t="array" ref="J9">IF(
 COUNTA(C9:G9)=0,
 "",
 SUM(
  _xlfn.XLOOKUP(
   TRIM(
    _xlfn.TEXTSPLIT(
     SUBSTITUTE(C9&amp;","&amp;D9&amp;","&amp;E9&amp;","&amp;F9&amp;","&amp;G9,CHAR(10),""),
     ","
    )
   ),
   Food_Master[Code],
   Food_Master[Calories],
   0
  )
 )
)</f>
        <v>1075</v>
      </c>
      <c r="K9" s="24">
        <v>86</v>
      </c>
      <c r="L9" s="11" t="str">
        <f t="shared" si="3"/>
        <v>Week1</v>
      </c>
    </row>
    <row r="10" spans="1:22" ht="30" x14ac:dyDescent="0.35">
      <c r="A10" s="62">
        <f t="shared" si="1"/>
        <v>46030</v>
      </c>
      <c r="B10" s="24">
        <f t="shared" si="2"/>
        <v>4</v>
      </c>
      <c r="C10" s="24" t="s">
        <v>110</v>
      </c>
      <c r="D10" s="24" t="s">
        <v>104</v>
      </c>
      <c r="E10" s="24" t="s">
        <v>108</v>
      </c>
      <c r="F10" s="24" t="s">
        <v>113</v>
      </c>
      <c r="G10" s="24" t="s">
        <v>114</v>
      </c>
      <c r="H10" s="24" t="str">
        <f t="shared" si="0"/>
        <v>OK</v>
      </c>
      <c r="I10" s="24" t="s">
        <v>111</v>
      </c>
      <c r="J10" s="24" cm="1">
        <f t="array" ref="J10">IF(
 COUNTA(C10:G10)=0,
 "",
 SUM(
  _xlfn.XLOOKUP(
   TRIM(
    _xlfn.TEXTSPLIT(
     SUBSTITUTE(C10&amp;","&amp;D10&amp;","&amp;E10&amp;","&amp;F10&amp;","&amp;G10,CHAR(10),""),
     ","
    )
   ),
   Food_Master[Code],
   Food_Master[Calories],
   0
  )
 )
)</f>
        <v>1440</v>
      </c>
      <c r="K10" s="24">
        <v>86.5</v>
      </c>
      <c r="L10" s="11" t="str">
        <f t="shared" si="3"/>
        <v>Week2</v>
      </c>
      <c r="Q10" s="65"/>
    </row>
    <row r="11" spans="1:22" ht="30" x14ac:dyDescent="0.25">
      <c r="A11" s="62">
        <f t="shared" si="1"/>
        <v>46031</v>
      </c>
      <c r="B11" s="24">
        <f t="shared" si="2"/>
        <v>5</v>
      </c>
      <c r="C11" s="24" t="s">
        <v>73</v>
      </c>
      <c r="D11" s="24" t="s">
        <v>63</v>
      </c>
      <c r="E11" s="24" t="s">
        <v>119</v>
      </c>
      <c r="F11" s="24" t="s">
        <v>120</v>
      </c>
      <c r="G11" s="24" t="s">
        <v>65</v>
      </c>
      <c r="H11" s="24" t="str">
        <f t="shared" ref="H11:H29" si="4">IF(J11="","",IF(J11&lt;=1500,"OK","Too High"))</f>
        <v>OK</v>
      </c>
      <c r="I11" s="24" t="s">
        <v>111</v>
      </c>
      <c r="J11" s="24" cm="1">
        <f t="array" ref="J11">IF(
 COUNTA(C11:G11)=0,
 "",
 SUM(
  _xlfn.XLOOKUP(
   TRIM(
    _xlfn.TEXTSPLIT(
     SUBSTITUTE(C11&amp;","&amp;D11&amp;","&amp;E11&amp;","&amp;F11&amp;","&amp;G11,CHAR(10),""),
     ","
    )
   ),
   Food_Master[Code],
   Food_Master[Calories],
   0
  )
 )
)</f>
        <v>1298</v>
      </c>
      <c r="K11" s="24">
        <v>86.5</v>
      </c>
      <c r="L11" s="11" t="str">
        <f t="shared" si="3"/>
        <v>Week2</v>
      </c>
    </row>
    <row r="12" spans="1:22" x14ac:dyDescent="0.25">
      <c r="A12" s="62">
        <f t="shared" si="1"/>
        <v>46032</v>
      </c>
      <c r="B12" s="24">
        <f t="shared" si="2"/>
        <v>6</v>
      </c>
      <c r="C12" s="24" t="s">
        <v>73</v>
      </c>
      <c r="D12" s="24" t="s">
        <v>128</v>
      </c>
      <c r="E12" s="24" t="s">
        <v>122</v>
      </c>
      <c r="F12" s="24" t="s">
        <v>126</v>
      </c>
      <c r="G12" s="24" t="s">
        <v>127</v>
      </c>
      <c r="H12" s="24" t="str">
        <f t="shared" si="4"/>
        <v>Too High</v>
      </c>
      <c r="I12" s="24"/>
      <c r="J12" s="24" cm="1">
        <f t="array" ref="J12">IF(
 COUNTA(C12:G12)=0,
 "",
 SUM(
  _xlfn.XLOOKUP(
   TRIM(
    _xlfn.TEXTSPLIT(
     SUBSTITUTE(C12&amp;","&amp;D12&amp;","&amp;E12&amp;","&amp;F12&amp;","&amp;G12,CHAR(10),""),
     ","
    )
   ),
   Food_Master[Code],
   Food_Master[Calories],
   0
  )
 )
)</f>
        <v>1560</v>
      </c>
      <c r="K12" s="24">
        <v>86.5</v>
      </c>
      <c r="L12" s="11" t="str">
        <f t="shared" si="3"/>
        <v>Week2</v>
      </c>
    </row>
    <row r="13" spans="1:22" ht="30" x14ac:dyDescent="0.25">
      <c r="A13" s="62">
        <f t="shared" si="1"/>
        <v>46033</v>
      </c>
      <c r="B13" s="24">
        <f t="shared" si="2"/>
        <v>7</v>
      </c>
      <c r="C13" s="24" t="s">
        <v>110</v>
      </c>
      <c r="D13" s="24" t="s">
        <v>139</v>
      </c>
      <c r="E13" s="24" t="s">
        <v>132</v>
      </c>
      <c r="F13" s="24" t="s">
        <v>128</v>
      </c>
      <c r="G13" s="24" t="s">
        <v>138</v>
      </c>
      <c r="H13" s="24" t="str">
        <f t="shared" si="4"/>
        <v>OK</v>
      </c>
      <c r="I13" s="24"/>
      <c r="J13" s="24" cm="1">
        <f t="array" ref="J13">IF(
 COUNTA(C13:G13)=0,
 "",
 SUM(
  _xlfn.XLOOKUP(
   TRIM(
    _xlfn.TEXTSPLIT(
     SUBSTITUTE(C13&amp;","&amp;D13&amp;","&amp;E13&amp;","&amp;F13&amp;","&amp;G13,CHAR(10),""),
     ","
    )
   ),
   Food_Master[Code],
   Food_Master[Calories],
   0
  )
 )
)</f>
        <v>1395</v>
      </c>
      <c r="K13" s="24">
        <v>86.5</v>
      </c>
      <c r="L13" s="11" t="str">
        <f t="shared" si="3"/>
        <v>Week2</v>
      </c>
    </row>
    <row r="14" spans="1:22" ht="30" x14ac:dyDescent="0.25">
      <c r="A14" s="62">
        <f t="shared" si="1"/>
        <v>46034</v>
      </c>
      <c r="B14" s="24">
        <f t="shared" si="2"/>
        <v>1</v>
      </c>
      <c r="C14" s="24"/>
      <c r="D14" s="24" t="s">
        <v>141</v>
      </c>
      <c r="E14" s="24" t="s">
        <v>140</v>
      </c>
      <c r="F14" s="24"/>
      <c r="G14" s="24"/>
      <c r="H14" s="24" t="str">
        <f t="shared" si="4"/>
        <v>OK</v>
      </c>
      <c r="I14" s="24"/>
      <c r="J14" s="24" cm="1">
        <f t="array" ref="J14">IF(
 COUNTA(C14:G14)=0,
 "",
 SUM(
  _xlfn.XLOOKUP(
   TRIM(
    _xlfn.TEXTSPLIT(
     SUBSTITUTE(C14&amp;","&amp;D14&amp;","&amp;E14&amp;","&amp;F14&amp;","&amp;G14,CHAR(10),""),
     ","
    )
   ),
   Food_Master[Code],
   Food_Master[Calories],
   0
  )
 )
)</f>
        <v>855</v>
      </c>
      <c r="K14" s="24">
        <v>86.5</v>
      </c>
      <c r="L14" s="11" t="str">
        <f t="shared" si="3"/>
        <v>Week2</v>
      </c>
    </row>
    <row r="15" spans="1:22" x14ac:dyDescent="0.25">
      <c r="A15" s="62">
        <f t="shared" si="1"/>
        <v>46035</v>
      </c>
      <c r="B15" s="24">
        <f t="shared" si="2"/>
        <v>2</v>
      </c>
      <c r="C15" s="24"/>
      <c r="D15" s="24"/>
      <c r="E15" s="24"/>
      <c r="F15" s="24"/>
      <c r="G15" s="24"/>
      <c r="H15" s="24" t="str">
        <f t="shared" si="4"/>
        <v/>
      </c>
      <c r="I15" s="24"/>
      <c r="J15" s="24" t="str" cm="1">
        <f t="array" ref="J15">IF(
 COUNTA(C15:G15)=0,
 "",
 SUM(
  _xlfn.XLOOKUP(
   TRIM(
    _xlfn.TEXTSPLIT(
     SUBSTITUTE(C15&amp;","&amp;D15&amp;","&amp;E15&amp;","&amp;F15&amp;","&amp;G15,CHAR(10),""),
     ","
    )
   ),
   Food_Master[Code],
   Food_Master[Calories],
   0
  )
 )
)</f>
        <v/>
      </c>
      <c r="K15" s="24"/>
      <c r="L15" s="11" t="str">
        <f t="shared" si="3"/>
        <v>Week2</v>
      </c>
    </row>
    <row r="16" spans="1:22" x14ac:dyDescent="0.25">
      <c r="A16" s="62">
        <f t="shared" si="1"/>
        <v>46036</v>
      </c>
      <c r="B16" s="24">
        <f t="shared" si="2"/>
        <v>3</v>
      </c>
      <c r="C16" s="24"/>
      <c r="D16" s="24"/>
      <c r="E16" s="24"/>
      <c r="F16" s="24"/>
      <c r="G16" s="24"/>
      <c r="H16" s="24" t="str">
        <f t="shared" si="4"/>
        <v/>
      </c>
      <c r="I16" s="24"/>
      <c r="J16" s="24" t="str" cm="1">
        <f t="array" ref="J16">IF(
 COUNTA(C16:G16)=0,
 "",
 SUM(
  _xlfn.XLOOKUP(
   TRIM(
    _xlfn.TEXTSPLIT(
     SUBSTITUTE(C16&amp;","&amp;D16&amp;","&amp;E16&amp;","&amp;F16&amp;","&amp;G16,CHAR(10),""),
     ","
    )
   ),
   Food_Master[Code],
   Food_Master[Calories],
   0
  )
 )
)</f>
        <v/>
      </c>
      <c r="K16" s="63"/>
      <c r="L16" s="11" t="str">
        <f t="shared" si="3"/>
        <v>Week2</v>
      </c>
    </row>
    <row r="17" spans="1:15" x14ac:dyDescent="0.25">
      <c r="A17" s="62">
        <f t="shared" si="1"/>
        <v>46037</v>
      </c>
      <c r="B17" s="24">
        <f t="shared" si="2"/>
        <v>4</v>
      </c>
      <c r="C17" s="24"/>
      <c r="D17" s="24"/>
      <c r="E17" s="24"/>
      <c r="F17" s="24"/>
      <c r="G17" s="24"/>
      <c r="H17" s="24" t="str">
        <f t="shared" si="4"/>
        <v/>
      </c>
      <c r="I17" s="24"/>
      <c r="J17" s="24" t="str" cm="1">
        <f t="array" ref="J17">IF(
 COUNTA(C17:G17)=0,
 "",
 SUM(
  _xlfn.XLOOKUP(
   TRIM(
    _xlfn.TEXTSPLIT(
     SUBSTITUTE(C17&amp;","&amp;D17&amp;","&amp;E17&amp;","&amp;F17&amp;","&amp;G17,CHAR(10),""),
     ","
    )
   ),
   Food_Master[Code],
   Food_Master[Calories],
   0
  )
 )
)</f>
        <v/>
      </c>
      <c r="K17" s="26"/>
      <c r="L17" s="11" t="str">
        <f t="shared" si="3"/>
        <v>Week3</v>
      </c>
    </row>
    <row r="18" spans="1:15" x14ac:dyDescent="0.25">
      <c r="A18" s="62">
        <f t="shared" si="1"/>
        <v>46038</v>
      </c>
      <c r="B18" s="24">
        <f t="shared" si="2"/>
        <v>5</v>
      </c>
      <c r="C18" s="24"/>
      <c r="D18" s="24"/>
      <c r="E18" s="24"/>
      <c r="F18" s="24"/>
      <c r="G18" s="24"/>
      <c r="H18" s="24" t="str">
        <f t="shared" si="4"/>
        <v/>
      </c>
      <c r="I18" s="24"/>
      <c r="J18" s="24" t="str" cm="1">
        <f t="array" ref="J18">IF(
 COUNTA(C18:G18)=0,
 "",
 SUM(
  _xlfn.XLOOKUP(
   TRIM(
    _xlfn.TEXTSPLIT(
     SUBSTITUTE(C18&amp;","&amp;D18&amp;","&amp;E18&amp;","&amp;F18&amp;","&amp;G18,CHAR(10),""),
     ","
    )
   ),
   Food_Master[Code],
   Food_Master[Calories],
   0
  )
 )
)</f>
        <v/>
      </c>
      <c r="K18" s="26"/>
      <c r="L18" s="11" t="str">
        <f t="shared" si="3"/>
        <v>Week3</v>
      </c>
    </row>
    <row r="19" spans="1:15" x14ac:dyDescent="0.25">
      <c r="A19" s="62">
        <f t="shared" si="1"/>
        <v>46039</v>
      </c>
      <c r="B19" s="24">
        <f t="shared" si="2"/>
        <v>6</v>
      </c>
      <c r="C19" s="24"/>
      <c r="D19" s="24"/>
      <c r="E19" s="24"/>
      <c r="F19" s="24"/>
      <c r="G19" s="24"/>
      <c r="H19" s="24" t="str">
        <f t="shared" si="4"/>
        <v/>
      </c>
      <c r="I19" s="24"/>
      <c r="J19" s="24" t="str" cm="1">
        <f t="array" ref="J19">IF(
 COUNTA(C19:G19)=0,
 "",
 SUM(
  _xlfn.XLOOKUP(
   TRIM(
    _xlfn.TEXTSPLIT(
     SUBSTITUTE(C19&amp;","&amp;D19&amp;","&amp;E19&amp;","&amp;F19&amp;","&amp;G19,CHAR(10),""),
     ","
    )
   ),
   Food_Master[Code],
   Food_Master[Calories],
   0
  )
 )
)</f>
        <v/>
      </c>
      <c r="K19" s="24"/>
      <c r="L19" s="11" t="str">
        <f t="shared" si="3"/>
        <v>Week3</v>
      </c>
    </row>
    <row r="20" spans="1:15" x14ac:dyDescent="0.25">
      <c r="A20" s="62">
        <f t="shared" si="1"/>
        <v>46040</v>
      </c>
      <c r="B20" s="24">
        <f t="shared" si="2"/>
        <v>7</v>
      </c>
      <c r="C20" s="24"/>
      <c r="D20" s="24"/>
      <c r="E20" s="24"/>
      <c r="F20" s="24"/>
      <c r="G20" s="24"/>
      <c r="H20" s="24" t="str">
        <f t="shared" si="4"/>
        <v/>
      </c>
      <c r="I20" s="24"/>
      <c r="J20" s="24" t="str" cm="1">
        <f t="array" ref="J20">IF(
 COUNTA(C20:G20)=0,
 "",
 SUM(
  _xlfn.XLOOKUP(
   TRIM(
    _xlfn.TEXTSPLIT(
     SUBSTITUTE(C20&amp;","&amp;D20&amp;","&amp;E20&amp;","&amp;F20&amp;","&amp;G20,CHAR(10),""),
     ","
    )
   ),
   Food_Master[Code],
   Food_Master[Calories],
   0
  )
 )
)</f>
        <v/>
      </c>
      <c r="K20" s="24"/>
      <c r="L20" s="11" t="str">
        <f t="shared" si="3"/>
        <v>Week3</v>
      </c>
    </row>
    <row r="21" spans="1:15" x14ac:dyDescent="0.25">
      <c r="A21" s="62">
        <f t="shared" si="1"/>
        <v>46041</v>
      </c>
      <c r="B21" s="24">
        <f t="shared" si="2"/>
        <v>1</v>
      </c>
      <c r="C21" s="24"/>
      <c r="D21" s="24"/>
      <c r="E21" s="24"/>
      <c r="F21" s="24"/>
      <c r="G21" s="24"/>
      <c r="H21" s="24" t="str">
        <f t="shared" si="4"/>
        <v/>
      </c>
      <c r="I21" s="24"/>
      <c r="J21" s="24" t="str" cm="1">
        <f t="array" ref="J21">IF(
 COUNTA(C21:G21)=0,
 "",
 SUM(
  _xlfn.XLOOKUP(
   TRIM(
    _xlfn.TEXTSPLIT(
     SUBSTITUTE(C21&amp;","&amp;D21&amp;","&amp;E21&amp;","&amp;F21&amp;","&amp;G21,CHAR(10),""),
     ","
    )
   ),
   Food_Master[Code],
   Food_Master[Calories],
   0
  )
 )
)</f>
        <v/>
      </c>
      <c r="K21" s="24"/>
      <c r="L21" s="11" t="str">
        <f t="shared" si="3"/>
        <v>Week3</v>
      </c>
    </row>
    <row r="22" spans="1:15" x14ac:dyDescent="0.25">
      <c r="A22" s="62">
        <f t="shared" si="1"/>
        <v>46042</v>
      </c>
      <c r="B22" s="24">
        <f t="shared" si="2"/>
        <v>2</v>
      </c>
      <c r="C22" s="24"/>
      <c r="D22" s="24"/>
      <c r="E22" s="24"/>
      <c r="F22" s="24"/>
      <c r="G22" s="24"/>
      <c r="H22" s="24" t="str">
        <f t="shared" si="4"/>
        <v/>
      </c>
      <c r="I22" s="24"/>
      <c r="J22" s="24" t="str" cm="1">
        <f t="array" ref="J22">IF(
 COUNTA(C22:G22)=0,
 "",
 SUM(
  _xlfn.XLOOKUP(
   TRIM(
    _xlfn.TEXTSPLIT(
     SUBSTITUTE(C22&amp;","&amp;D22&amp;","&amp;E22&amp;","&amp;F22&amp;","&amp;G22,CHAR(10),""),
     ","
    )
   ),
   Food_Master[Code],
   Food_Master[Calories],
   0
  )
 )
)</f>
        <v/>
      </c>
      <c r="K22" s="24"/>
      <c r="L22" s="11" t="str">
        <f t="shared" si="3"/>
        <v>Week3</v>
      </c>
    </row>
    <row r="23" spans="1:15" x14ac:dyDescent="0.25">
      <c r="A23" s="62">
        <f t="shared" si="1"/>
        <v>46043</v>
      </c>
      <c r="B23" s="24">
        <f t="shared" si="2"/>
        <v>3</v>
      </c>
      <c r="C23" s="24"/>
      <c r="D23" s="24"/>
      <c r="E23" s="24"/>
      <c r="F23" s="24"/>
      <c r="G23" s="24"/>
      <c r="H23" s="24" t="str">
        <f t="shared" si="4"/>
        <v/>
      </c>
      <c r="I23" s="24"/>
      <c r="J23" s="24" t="str" cm="1">
        <f t="array" ref="J23">IF(
 COUNTA(C23:G23)=0,
 "",
 SUM(
  _xlfn.XLOOKUP(
   TRIM(
    _xlfn.TEXTSPLIT(
     SUBSTITUTE(C23&amp;","&amp;D23&amp;","&amp;E23&amp;","&amp;F23&amp;","&amp;G23,CHAR(10),""),
     ","
    )
   ),
   Food_Master[Code],
   Food_Master[Calories],
   0
  )
 )
)</f>
        <v/>
      </c>
      <c r="K23" s="63"/>
      <c r="L23" s="11" t="str">
        <f t="shared" si="3"/>
        <v>Week3</v>
      </c>
    </row>
    <row r="24" spans="1:15" x14ac:dyDescent="0.25">
      <c r="A24" s="62">
        <f t="shared" si="1"/>
        <v>46044</v>
      </c>
      <c r="B24" s="24">
        <f t="shared" si="2"/>
        <v>4</v>
      </c>
      <c r="H24" s="24" t="str">
        <f t="shared" si="4"/>
        <v/>
      </c>
      <c r="I24" s="24"/>
      <c r="J24" s="24" t="str" cm="1">
        <f t="array" ref="J24">IF(
 COUNTA(C24:G24)=0,
 "",
 SUM(
  _xlfn.XLOOKUP(
   TRIM(
    _xlfn.TEXTSPLIT(
     SUBSTITUTE(C24&amp;","&amp;D24&amp;","&amp;E24&amp;","&amp;F24&amp;","&amp;G24,CHAR(10),""),
     ","
    )
   ),
   Food_Master[Code],
   Food_Master[Calories],
   0
  )
 )
)</f>
        <v/>
      </c>
      <c r="K24" s="26"/>
      <c r="L24" s="11" t="str">
        <f t="shared" si="3"/>
        <v>Week4</v>
      </c>
    </row>
    <row r="25" spans="1:15" x14ac:dyDescent="0.25">
      <c r="A25" s="62">
        <f t="shared" si="1"/>
        <v>46045</v>
      </c>
      <c r="B25" s="24">
        <f t="shared" si="2"/>
        <v>5</v>
      </c>
      <c r="H25" s="24" t="str">
        <f t="shared" si="4"/>
        <v/>
      </c>
      <c r="I25" s="24"/>
      <c r="J25" s="24" t="str" cm="1">
        <f t="array" ref="J25">IF(
 COUNTA(C25:G25)=0,
 "",
 SUM(
  _xlfn.XLOOKUP(
   TRIM(
    _xlfn.TEXTSPLIT(
     SUBSTITUTE(C25&amp;","&amp;D25&amp;","&amp;E25&amp;","&amp;F25&amp;","&amp;G25,CHAR(10),""),
     ","
    )
   ),
   Food_Master[Code],
   Food_Master[Calories],
   0
  )
 )
)</f>
        <v/>
      </c>
      <c r="K25" s="26"/>
      <c r="L25" s="11" t="str">
        <f t="shared" si="3"/>
        <v>Week4</v>
      </c>
    </row>
    <row r="26" spans="1:15" x14ac:dyDescent="0.25">
      <c r="A26" s="62">
        <f t="shared" si="1"/>
        <v>46046</v>
      </c>
      <c r="B26" s="24">
        <f t="shared" si="2"/>
        <v>6</v>
      </c>
      <c r="H26" s="24" t="str">
        <f t="shared" si="4"/>
        <v/>
      </c>
      <c r="I26" s="24"/>
      <c r="J26" s="24" t="str" cm="1">
        <f t="array" ref="J26">IF(
 COUNTA(C26:G26)=0,
 "",
 SUM(
  _xlfn.XLOOKUP(
   TRIM(
    _xlfn.TEXTSPLIT(
     SUBSTITUTE(C26&amp;","&amp;D26&amp;","&amp;E26&amp;","&amp;F26&amp;","&amp;G26,CHAR(10),""),
     ","
    )
   ),
   Food_Master[Code],
   Food_Master[Calories],
   0
  )
 )
)</f>
        <v/>
      </c>
      <c r="K26" s="26"/>
      <c r="L26" s="11" t="str">
        <f t="shared" si="3"/>
        <v>Week4</v>
      </c>
      <c r="N26" s="1"/>
      <c r="O26" s="1"/>
    </row>
    <row r="27" spans="1:15" x14ac:dyDescent="0.25">
      <c r="A27" s="62">
        <f t="shared" si="1"/>
        <v>46047</v>
      </c>
      <c r="B27" s="24">
        <f t="shared" si="2"/>
        <v>7</v>
      </c>
      <c r="H27" s="24" t="str">
        <f t="shared" si="4"/>
        <v/>
      </c>
      <c r="I27" s="24"/>
      <c r="J27" s="24" t="str" cm="1">
        <f t="array" ref="J27">IF(
 COUNTA(C27:G27)=0,
 "",
 SUM(
  _xlfn.XLOOKUP(
   TRIM(
    _xlfn.TEXTSPLIT(
     SUBSTITUTE(C27&amp;","&amp;D27&amp;","&amp;E27&amp;","&amp;F27&amp;","&amp;G27,CHAR(10),""),
     ","
    )
   ),
   Food_Master[Code],
   Food_Master[Calories],
   0
  )
 )
)</f>
        <v/>
      </c>
      <c r="K27" s="26"/>
      <c r="L27" s="11" t="str">
        <f t="shared" si="3"/>
        <v>Week4</v>
      </c>
      <c r="N27" s="1"/>
      <c r="O27" s="1"/>
    </row>
    <row r="28" spans="1:15" x14ac:dyDescent="0.25">
      <c r="A28" s="62">
        <f t="shared" si="1"/>
        <v>46048</v>
      </c>
      <c r="B28" s="24">
        <f t="shared" si="2"/>
        <v>1</v>
      </c>
      <c r="H28" s="24" t="str">
        <f t="shared" si="4"/>
        <v/>
      </c>
      <c r="I28" s="24"/>
      <c r="J28" s="24" t="str" cm="1">
        <f t="array" ref="J28">IF(
 COUNTA(C28:G28)=0,
 "",
 SUM(
  _xlfn.XLOOKUP(
   TRIM(
    _xlfn.TEXTSPLIT(
     SUBSTITUTE(C28&amp;","&amp;D28&amp;","&amp;E28&amp;","&amp;F28&amp;","&amp;G28,CHAR(10),""),
     ","
    )
   ),
   Food_Master[Code],
   Food_Master[Calories],
   0
  )
 )
)</f>
        <v/>
      </c>
      <c r="K28" s="26"/>
      <c r="L28" s="11" t="str">
        <f t="shared" si="3"/>
        <v>Week4</v>
      </c>
      <c r="N28" s="1"/>
      <c r="O28" s="1"/>
    </row>
    <row r="29" spans="1:15" x14ac:dyDescent="0.25">
      <c r="A29" s="62">
        <f t="shared" si="1"/>
        <v>46049</v>
      </c>
      <c r="B29" s="24">
        <f t="shared" si="2"/>
        <v>2</v>
      </c>
      <c r="H29" s="24" t="str">
        <f t="shared" si="4"/>
        <v/>
      </c>
      <c r="I29" s="24"/>
      <c r="J29" s="24" t="str" cm="1">
        <f t="array" ref="J29">IF(
 COUNTA(C29:G29)=0,
 "",
 SUM(
  _xlfn.XLOOKUP(
   TRIM(
    _xlfn.TEXTSPLIT(
     SUBSTITUTE(C29&amp;","&amp;D29&amp;","&amp;E29&amp;","&amp;F29&amp;","&amp;G29,CHAR(10),""),
     ","
    )
   ),
   Food_Master[Code],
   Food_Master[Calories],
   0
  )
 )
)</f>
        <v/>
      </c>
      <c r="K29" s="26"/>
      <c r="L29" s="11" t="str">
        <f t="shared" si="3"/>
        <v>Week4</v>
      </c>
      <c r="N29" s="1"/>
      <c r="O29" s="1"/>
    </row>
    <row r="30" spans="1:15" x14ac:dyDescent="0.25">
      <c r="A30" s="62">
        <f t="shared" si="1"/>
        <v>46050</v>
      </c>
      <c r="B30" s="24">
        <f t="shared" si="2"/>
        <v>3</v>
      </c>
      <c r="H30" s="24" t="str">
        <f t="shared" ref="H30:H33" si="5">IF(J30="","",IF(J30&lt;=1500,"OK","Too High"))</f>
        <v/>
      </c>
      <c r="I30" s="24"/>
      <c r="J30" s="24" t="str" cm="1">
        <f t="array" ref="J30">IF(
 COUNTA(C30:G30)=0,
 "",
 SUM(
  _xlfn.XLOOKUP(
   TRIM(
    _xlfn.TEXTSPLIT(
     SUBSTITUTE(C30&amp;","&amp;D30&amp;","&amp;E30&amp;","&amp;F30&amp;","&amp;G30,CHAR(10),""),
     ","
    )
   ),
   Food_Master[Code],
   Food_Master[Calories],
   0
  )
 )
)</f>
        <v/>
      </c>
      <c r="K30" s="26"/>
      <c r="L30" s="11" t="str">
        <f t="shared" si="3"/>
        <v>Week4</v>
      </c>
    </row>
    <row r="31" spans="1:15" x14ac:dyDescent="0.25">
      <c r="A31" s="62">
        <f t="shared" si="1"/>
        <v>46051</v>
      </c>
      <c r="B31" s="24">
        <f t="shared" si="2"/>
        <v>4</v>
      </c>
      <c r="H31" s="24" t="str">
        <f t="shared" si="5"/>
        <v/>
      </c>
      <c r="I31" s="24"/>
      <c r="J31" s="24" t="str" cm="1">
        <f t="array" ref="J31">IF(
 COUNTA(C31:G31)=0,
 "",
 SUM(
  _xlfn.XLOOKUP(
   TRIM(
    _xlfn.TEXTSPLIT(
     SUBSTITUTE(C31&amp;","&amp;D31&amp;","&amp;E31&amp;","&amp;F31&amp;","&amp;G31,CHAR(10),""),
     ","
    )
   ),
   Food_Master[Code],
   Food_Master[Calories],
   0
  )
 )
)</f>
        <v/>
      </c>
      <c r="K31" s="26"/>
      <c r="L31" s="11" t="str">
        <f t="shared" si="3"/>
        <v>Week5</v>
      </c>
    </row>
    <row r="32" spans="1:15" x14ac:dyDescent="0.25">
      <c r="A32" s="62">
        <f t="shared" si="1"/>
        <v>46052</v>
      </c>
      <c r="B32" s="24">
        <f t="shared" si="2"/>
        <v>5</v>
      </c>
      <c r="H32" s="24" t="str">
        <f t="shared" si="5"/>
        <v/>
      </c>
      <c r="I32" s="24"/>
      <c r="J32" s="24" t="str" cm="1">
        <f t="array" ref="J32">IF(
 COUNTA(C32:G32)=0,
 "",
 SUM(
  _xlfn.XLOOKUP(
   TRIM(
    _xlfn.TEXTSPLIT(
     SUBSTITUTE(C32&amp;","&amp;D32&amp;","&amp;E32&amp;","&amp;F32&amp;","&amp;G32,CHAR(10),""),
     ","
    )
   ),
   Food_Master[Code],
   Food_Master[Calories],
   0
  )
 )
)</f>
        <v/>
      </c>
      <c r="K32" s="26"/>
      <c r="L32" s="11" t="str">
        <f t="shared" si="3"/>
        <v>Week5</v>
      </c>
    </row>
    <row r="33" spans="1:12" x14ac:dyDescent="0.25">
      <c r="A33" s="62">
        <f t="shared" si="1"/>
        <v>46053</v>
      </c>
      <c r="B33" s="24">
        <f t="shared" si="2"/>
        <v>6</v>
      </c>
      <c r="H33" s="24" t="str">
        <f t="shared" si="5"/>
        <v/>
      </c>
      <c r="I33" s="24"/>
      <c r="J33" s="24" t="str" cm="1">
        <f t="array" ref="J33">IF(
 COUNTA(C33:G33)=0,
 "",
 SUM(
  _xlfn.XLOOKUP(
   TRIM(
    _xlfn.TEXTSPLIT(
     SUBSTITUTE(C33&amp;","&amp;D33&amp;","&amp;E33&amp;","&amp;F33&amp;","&amp;G33,CHAR(10),""),
     ","
    )
   ),
   Food_Master[Code],
   Food_Master[Calories],
   0
  )
 )
)</f>
        <v/>
      </c>
      <c r="K33" s="26"/>
      <c r="L33" s="11" t="str">
        <f t="shared" si="3"/>
        <v>Week5</v>
      </c>
    </row>
  </sheetData>
  <dataConsolidate/>
  <phoneticPr fontId="5" type="noConversion"/>
  <conditionalFormatting sqref="C3:G33">
    <cfRule type="expression" dxfId="3" priority="2">
      <formula>C3=""</formula>
    </cfRule>
  </conditionalFormatting>
  <conditionalFormatting sqref="J3:J33">
    <cfRule type="colorScale" priority="6">
      <colorScale>
        <cfvo type="num" val="1500"/>
        <cfvo type="num" val="1600"/>
        <cfvo type="num" val="1700"/>
        <color theme="9"/>
        <color rgb="FFFFEB84"/>
        <color rgb="FFFF4343"/>
      </colorScale>
    </cfRule>
  </conditionalFormatting>
  <conditionalFormatting sqref="P3:P6">
    <cfRule type="colorScale" priority="5">
      <colorScale>
        <cfvo type="num" val="1500"/>
        <cfvo type="num" val="1600"/>
        <cfvo type="num" val="1700"/>
        <color theme="9"/>
        <color rgb="FFFFEB84"/>
        <color rgb="FFFF0000"/>
      </colorScale>
    </cfRule>
  </conditionalFormatting>
  <conditionalFormatting sqref="V3:V6">
    <cfRule type="colorScale" priority="1">
      <colorScale>
        <cfvo type="num" val="0"/>
        <cfvo type="percentile" val="50"/>
        <cfvo type="num" val="1"/>
        <color rgb="FFFF4343"/>
        <color rgb="FFFFEB84"/>
        <color rgb="FF63BE7B"/>
      </colorScale>
    </cfRule>
  </conditionalFormatting>
  <dataValidations count="3">
    <dataValidation type="list" allowBlank="1" showInputMessage="1" showErrorMessage="1" sqref="H2 I2:I33" xr:uid="{40B269B7-CD8A-4D71-8075-16DF62635C28}">
      <formula1>"Yes,No"</formula1>
    </dataValidation>
    <dataValidation type="custom" allowBlank="1" showInputMessage="1" showErrorMessage="1" sqref="K23 K16" xr:uid="{A90F1835-2C49-43C8-A411-793FF0824253}">
      <formula1>AVERAGEIF(J10:J16,"&gt;0")</formula1>
    </dataValidation>
    <dataValidation type="custom" allowBlank="1" showInputMessage="1" showErrorMessage="1" sqref="P3:P6" xr:uid="{73EC3F81-40C7-463E-A716-8CA3D166E77E}">
      <formula1>AVERAGEIF(J3:J9,"&gt;0")</formula1>
    </dataValidation>
  </dataValidations>
  <pageMargins left="0.7" right="0.7" top="0.75" bottom="0.75" header="0.3" footer="0.3"/>
  <pageSetup orientation="portrait" r:id="rId1"/>
  <ignoredErrors>
    <ignoredError sqref="S3:S4 V3:V4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4CFCE-9BF6-4E00-B9CB-81FC64F35762}">
  <dimension ref="A1:V29"/>
  <sheetViews>
    <sheetView workbookViewId="0">
      <pane ySplit="2" topLeftCell="A3" activePane="bottomLeft" state="frozen"/>
      <selection pane="bottomLeft" activeCell="I29" sqref="I29"/>
    </sheetView>
  </sheetViews>
  <sheetFormatPr defaultRowHeight="15" x14ac:dyDescent="0.25"/>
  <cols>
    <col min="1" max="1" width="12.28515625" style="26" bestFit="1" customWidth="1"/>
    <col min="2" max="2" width="11.42578125" bestFit="1" customWidth="1"/>
    <col min="3" max="3" width="16.28515625" style="26" bestFit="1" customWidth="1"/>
    <col min="4" max="4" width="16.140625" style="26" bestFit="1" customWidth="1"/>
    <col min="5" max="5" width="11.140625" style="26" customWidth="1"/>
    <col min="6" max="6" width="9.7109375" style="26" bestFit="1" customWidth="1"/>
    <col min="7" max="7" width="12.42578125" style="26" customWidth="1"/>
    <col min="8" max="8" width="19.140625" style="26" bestFit="1" customWidth="1"/>
    <col min="9" max="9" width="13.7109375" style="26" bestFit="1" customWidth="1"/>
    <col min="10" max="10" width="15.5703125" style="26" customWidth="1"/>
    <col min="11" max="11" width="14" bestFit="1" customWidth="1"/>
    <col min="12" max="12" width="9.5703125" hidden="1" customWidth="1"/>
    <col min="13" max="14" width="10.85546875" style="11" customWidth="1"/>
    <col min="15" max="15" width="8.85546875" customWidth="1"/>
    <col min="16" max="16" width="11" customWidth="1"/>
    <col min="17" max="17" width="11.28515625" customWidth="1"/>
    <col min="18" max="18" width="7.42578125" customWidth="1"/>
    <col min="19" max="19" width="11" customWidth="1"/>
    <col min="20" max="20" width="12.140625" customWidth="1"/>
    <col min="21" max="21" width="7.140625" customWidth="1"/>
    <col min="22" max="22" width="11.5703125" customWidth="1"/>
    <col min="23" max="23" width="11.140625" customWidth="1"/>
  </cols>
  <sheetData>
    <row r="1" spans="1:22" s="70" customFormat="1" ht="26.25" customHeight="1" x14ac:dyDescent="0.25">
      <c r="A1" s="85" t="s">
        <v>116</v>
      </c>
      <c r="B1" s="83"/>
      <c r="C1" s="84">
        <v>46054</v>
      </c>
      <c r="D1" s="83"/>
      <c r="E1" s="83"/>
      <c r="F1" s="83"/>
      <c r="G1" s="83"/>
      <c r="H1" s="83"/>
      <c r="I1" s="83"/>
      <c r="J1" s="83"/>
      <c r="K1" s="83"/>
      <c r="L1" s="83"/>
      <c r="N1"/>
    </row>
    <row r="2" spans="1:22" ht="40.5" customHeight="1" x14ac:dyDescent="0.35">
      <c r="A2" s="67" t="s">
        <v>50</v>
      </c>
      <c r="B2" s="68" t="s">
        <v>0</v>
      </c>
      <c r="C2" s="67" t="s">
        <v>32</v>
      </c>
      <c r="D2" s="67" t="s">
        <v>1</v>
      </c>
      <c r="E2" s="67" t="s">
        <v>2</v>
      </c>
      <c r="F2" s="67" t="s">
        <v>3</v>
      </c>
      <c r="G2" s="67" t="s">
        <v>4</v>
      </c>
      <c r="H2" s="67" t="s">
        <v>5</v>
      </c>
      <c r="I2" s="67" t="s">
        <v>6</v>
      </c>
      <c r="J2" s="67" t="s">
        <v>112</v>
      </c>
      <c r="K2" s="67" t="s">
        <v>105</v>
      </c>
      <c r="L2" s="67" t="s">
        <v>115</v>
      </c>
      <c r="N2"/>
      <c r="O2" s="72" t="s">
        <v>49</v>
      </c>
      <c r="P2" s="72"/>
      <c r="R2" s="82" t="s">
        <v>107</v>
      </c>
      <c r="S2" s="73"/>
      <c r="U2" s="81" t="s">
        <v>106</v>
      </c>
      <c r="V2" s="71"/>
    </row>
    <row r="3" spans="1:22" x14ac:dyDescent="0.25">
      <c r="A3" s="62">
        <f>IF(ROW()-ROW($A$3)+1&gt;DAY(EOMONTH($C$1,0)),"",$C$1+ROW()-ROW($A$3))</f>
        <v>46054</v>
      </c>
      <c r="B3" s="24">
        <f>IFERROR(WEEKDAY(A3,2), "")</f>
        <v>7</v>
      </c>
      <c r="C3" s="24"/>
      <c r="D3" s="24"/>
      <c r="E3" s="24"/>
      <c r="F3" s="24"/>
      <c r="G3" s="24"/>
      <c r="H3" s="24" t="str">
        <f>IF(J3="","",IF(J3&lt;=1500,"OK","Too High"))</f>
        <v/>
      </c>
      <c r="I3" s="24"/>
      <c r="J3" s="24" t="str" cm="1">
        <f t="array" ref="J3">IF(
 COUNTA(C3:G3)=0,
 "",
 SUM(
  _xlfn.XLOOKUP(
   TRIM(
    _xlfn.TEXTSPLIT(
     SUBSTITUTE(C3&amp;","&amp;D3&amp;","&amp;E3&amp;","&amp;F3&amp;","&amp;G3,CHAR(10),""),
     ","
    )
   ),
   Food_Master[Code],
   Food_Master[Calories],
   0
  )
 )
)</f>
        <v/>
      </c>
      <c r="K3" s="24"/>
      <c r="L3" s="1" t="str">
        <f>IFERROR("Week"&amp;INT((DAY(A3)-1)/7)+1, "")</f>
        <v>Week1</v>
      </c>
      <c r="N3"/>
      <c r="O3" s="76" t="str" cm="1">
        <f t="array" ref="O3:O6">_xlfn.UNIQUE(L3:L29)</f>
        <v>Week1</v>
      </c>
      <c r="P3" s="66" t="str">
        <f>IF(COUNTIF(J9:J15,"&gt;0")=0,"",AVERAGEIF(J9:J15,"&gt;0"))</f>
        <v/>
      </c>
      <c r="Q3" s="1"/>
      <c r="R3" s="76" t="str" cm="1">
        <f t="array" ref="R3:R6">_xlfn.UNIQUE(L3:L29)</f>
        <v>Week1</v>
      </c>
      <c r="S3" s="77" t="str">
        <f>IFERROR(AVERAGE(K3:K9),"")</f>
        <v/>
      </c>
      <c r="T3" s="1"/>
      <c r="U3" s="76" t="str" cm="1">
        <f t="array" ref="U3:U6">_xlfn.UNIQUE(L3:L29)</f>
        <v>Week1</v>
      </c>
      <c r="V3" s="78">
        <f>IF(COUNTA(J3:J9)=0,0,COUNTIFS(J3:J9,"&gt;0",K3:K9,"&gt;0")/7)</f>
        <v>0</v>
      </c>
    </row>
    <row r="4" spans="1:22" x14ac:dyDescent="0.25">
      <c r="A4" s="62">
        <f t="shared" ref="A4:A29" si="0">IF(ROW()-ROW($A$3)+1&gt;DAY(EOMONTH($C$1,0)),"",$C$1+ROW()-ROW($A$3))</f>
        <v>46055</v>
      </c>
      <c r="B4" s="24">
        <f t="shared" ref="B4:B29" si="1">IFERROR(WEEKDAY(A4,2), "")</f>
        <v>1</v>
      </c>
      <c r="C4" s="24"/>
      <c r="D4" s="24"/>
      <c r="E4" s="24"/>
      <c r="F4" s="24"/>
      <c r="G4" s="24"/>
      <c r="H4" s="24" t="str">
        <f t="shared" ref="H4:H29" si="2">IF(J4="","",IF(J4&lt;=1500,"OK","Too High"))</f>
        <v/>
      </c>
      <c r="I4" s="24"/>
      <c r="J4" s="24" t="str" cm="1">
        <f t="array" ref="J4">IF(
 COUNTA(C4:G4)=0,
 "",
 SUM(
  _xlfn.XLOOKUP(
   TRIM(
    _xlfn.TEXTSPLIT(
     SUBSTITUTE(C4&amp;","&amp;D4&amp;","&amp;E4&amp;","&amp;F4&amp;","&amp;G4,CHAR(10),""),
     ","
    )
   ),
   Food_Master[Code],
   Food_Master[Calories],
   0
  )
 )
)</f>
        <v/>
      </c>
      <c r="K4" s="24"/>
      <c r="L4" s="1" t="str">
        <f t="shared" ref="L4:L29" si="3">IFERROR("Week"&amp;INT((DAY(A4)-1)/7)+1, "")</f>
        <v>Week1</v>
      </c>
      <c r="N4"/>
      <c r="O4" s="76" t="str">
        <v>Week2</v>
      </c>
      <c r="P4" s="66" t="str">
        <f>IF(COUNTIF(J10:J16,"&gt;0")=0,"",AVERAGEIF(J10:J16,"&gt;0"))</f>
        <v/>
      </c>
      <c r="Q4" s="1"/>
      <c r="R4" s="76" t="str">
        <v>Week2</v>
      </c>
      <c r="S4" s="79" t="str">
        <f>IFERROR(AVERAGE(K10:K16),"")</f>
        <v/>
      </c>
      <c r="T4" s="1"/>
      <c r="U4" s="76" t="str">
        <v>Week2</v>
      </c>
      <c r="V4" s="78">
        <f>IF(COUNTA(J10:J16)=0,0,COUNTIFS(J10:J16,"&gt;0",K10:K16,"&gt;0")/7)</f>
        <v>0</v>
      </c>
    </row>
    <row r="5" spans="1:22" x14ac:dyDescent="0.25">
      <c r="A5" s="62">
        <f t="shared" si="0"/>
        <v>46056</v>
      </c>
      <c r="B5" s="24">
        <f t="shared" si="1"/>
        <v>2</v>
      </c>
      <c r="C5" s="24"/>
      <c r="D5" s="24"/>
      <c r="E5" s="24"/>
      <c r="F5" s="24"/>
      <c r="G5" s="24"/>
      <c r="H5" s="24" t="str">
        <f t="shared" si="2"/>
        <v/>
      </c>
      <c r="I5" s="24"/>
      <c r="J5" s="24" t="str" cm="1">
        <f t="array" ref="J5">IF(
 COUNTA(C5:G5)=0,
 "",
 SUM(
  _xlfn.XLOOKUP(
   TRIM(
    _xlfn.TEXTSPLIT(
     SUBSTITUTE(C5&amp;","&amp;D5&amp;","&amp;E5&amp;","&amp;F5&amp;","&amp;G5,CHAR(10),""),
     ","
    )
   ),
   Food_Master[Code],
   Food_Master[Calories],
   0
  )
 )
)</f>
        <v/>
      </c>
      <c r="K5" s="24"/>
      <c r="L5" s="1" t="str">
        <f t="shared" si="3"/>
        <v>Week1</v>
      </c>
      <c r="N5"/>
      <c r="O5" s="76" t="str">
        <v>Week3</v>
      </c>
      <c r="P5" s="66" t="str">
        <f>IF(COUNTIF(J17:J23,"&gt;0")=0,"",AVERAGEIF(J17:J23,"&gt;0"))</f>
        <v/>
      </c>
      <c r="Q5" s="1"/>
      <c r="R5" s="76" t="str">
        <v>Week3</v>
      </c>
      <c r="S5" s="79" t="str">
        <f>IFERROR(AVERAGE(K17:K23),"")</f>
        <v/>
      </c>
      <c r="T5" s="1"/>
      <c r="U5" s="76" t="str">
        <v>Week3</v>
      </c>
      <c r="V5" s="78">
        <f>IF(COUNTA(J17:J23)=0,0,COUNTIFS(J17:J23,"&gt;0",K17:K23,"&gt;0")/7)</f>
        <v>0</v>
      </c>
    </row>
    <row r="6" spans="1:22" x14ac:dyDescent="0.25">
      <c r="A6" s="62">
        <f>IF(ROW()-ROW($A$3)+1&gt;DAY(EOMONTH($C$1,0)),"",$C$1+ROW()-ROW($A$3))</f>
        <v>46057</v>
      </c>
      <c r="B6" s="24">
        <f t="shared" si="1"/>
        <v>3</v>
      </c>
      <c r="C6" s="24"/>
      <c r="D6" s="24"/>
      <c r="E6" s="24"/>
      <c r="F6" s="24"/>
      <c r="G6" s="24"/>
      <c r="H6" s="24" t="str">
        <f t="shared" si="2"/>
        <v/>
      </c>
      <c r="I6" s="24"/>
      <c r="J6" s="24" t="str" cm="1">
        <f t="array" ref="J6">IF(
 COUNTA(C6:G6)=0,
 "",
 SUM(
  _xlfn.XLOOKUP(
   TRIM(
    _xlfn.TEXTSPLIT(
     SUBSTITUTE(C6&amp;","&amp;D6&amp;","&amp;E6&amp;","&amp;F6&amp;","&amp;G6,CHAR(10),""),
     ","
    )
   ),
   Food_Master[Code],
   Food_Master[Calories],
   0
  )
 )
)</f>
        <v/>
      </c>
      <c r="K6" s="24"/>
      <c r="L6" s="1" t="str">
        <f t="shared" si="3"/>
        <v>Week1</v>
      </c>
      <c r="N6"/>
      <c r="O6" s="76" t="str">
        <v>Week4</v>
      </c>
      <c r="P6" s="66" t="str">
        <f>IF(COUNTIF(J24:J29,"&gt;0")=0,"",AVERAGEIF(J24:J29,"&gt;0"))</f>
        <v/>
      </c>
      <c r="Q6" s="1"/>
      <c r="R6" s="76" t="str">
        <v>Week4</v>
      </c>
      <c r="S6" s="79" t="str">
        <f>IFERROR(AVERAGE(K24:K29),"")</f>
        <v/>
      </c>
      <c r="T6" s="1"/>
      <c r="U6" s="76" t="str">
        <v>Week4</v>
      </c>
      <c r="V6" s="78">
        <f>IF(COUNTA(J24:J29)=0,0,COUNTIFS(J24:J29,"&gt;0",K24:K29,"&gt;0")/7)</f>
        <v>0</v>
      </c>
    </row>
    <row r="7" spans="1:22" x14ac:dyDescent="0.25">
      <c r="A7" s="62">
        <f t="shared" si="0"/>
        <v>46058</v>
      </c>
      <c r="B7" s="24">
        <f t="shared" si="1"/>
        <v>4</v>
      </c>
      <c r="C7" s="24"/>
      <c r="D7" s="24"/>
      <c r="E7" s="24"/>
      <c r="F7" s="24"/>
      <c r="G7" s="24"/>
      <c r="H7" s="24" t="str">
        <f t="shared" si="2"/>
        <v/>
      </c>
      <c r="I7" s="24"/>
      <c r="J7" s="24" t="str" cm="1">
        <f t="array" ref="J7">IF(
 COUNTA(C7:G7)=0,
 "",
 SUM(
  _xlfn.XLOOKUP(
   TRIM(
    _xlfn.TEXTSPLIT(
     SUBSTITUTE(C7&amp;","&amp;D7&amp;","&amp;E7&amp;","&amp;F7&amp;","&amp;G7,CHAR(10),""),
     ","
    )
   ),
   Food_Master[Code],
   Food_Master[Calories],
   0
  )
 )
)</f>
        <v/>
      </c>
      <c r="K7" s="24"/>
      <c r="L7" s="1" t="str">
        <f t="shared" si="3"/>
        <v>Week1</v>
      </c>
      <c r="N7"/>
    </row>
    <row r="8" spans="1:22" x14ac:dyDescent="0.25">
      <c r="A8" s="62">
        <f t="shared" si="0"/>
        <v>46059</v>
      </c>
      <c r="B8" s="24">
        <f t="shared" si="1"/>
        <v>5</v>
      </c>
      <c r="C8" s="24"/>
      <c r="D8" s="24"/>
      <c r="E8" s="24"/>
      <c r="F8" s="24"/>
      <c r="G8" s="24"/>
      <c r="H8" s="24" t="str">
        <f t="shared" si="2"/>
        <v/>
      </c>
      <c r="I8" s="24"/>
      <c r="J8" s="24" t="str" cm="1">
        <f t="array" ref="J8">IF(
 COUNTA(C8:G8)=0,
 "",
 SUM(
  _xlfn.XLOOKUP(
   TRIM(
    _xlfn.TEXTSPLIT(
     SUBSTITUTE(C8&amp;","&amp;D8&amp;","&amp;E8&amp;","&amp;F8&amp;","&amp;G8,CHAR(10),""),
     ","
    )
   ),
   Food_Master[Code],
   Food_Master[Calories],
   0
  )
 )
)</f>
        <v/>
      </c>
      <c r="K8" s="24"/>
      <c r="L8" s="1" t="str">
        <f t="shared" si="3"/>
        <v>Week1</v>
      </c>
      <c r="N8"/>
    </row>
    <row r="9" spans="1:22" x14ac:dyDescent="0.25">
      <c r="A9" s="62">
        <f t="shared" si="0"/>
        <v>46060</v>
      </c>
      <c r="B9" s="24">
        <f t="shared" si="1"/>
        <v>6</v>
      </c>
      <c r="C9" s="24"/>
      <c r="D9" s="24"/>
      <c r="E9" s="24"/>
      <c r="F9" s="24"/>
      <c r="G9" s="24"/>
      <c r="H9" s="24" t="str">
        <f t="shared" si="2"/>
        <v/>
      </c>
      <c r="I9" s="24"/>
      <c r="J9" s="24" t="str" cm="1">
        <f t="array" ref="J9">IF(
 COUNTA(C9:G9)=0,
 "",
 SUM(
  _xlfn.XLOOKUP(
   TRIM(
    _xlfn.TEXTSPLIT(
     SUBSTITUTE(C9&amp;","&amp;D9&amp;","&amp;E9&amp;","&amp;F9&amp;","&amp;G9,CHAR(10),""),
     ","
    )
   ),
   Food_Master[Code],
   Food_Master[Calories],
   0
  )
 )
)</f>
        <v/>
      </c>
      <c r="K9" s="1"/>
      <c r="L9" s="1" t="str">
        <f t="shared" si="3"/>
        <v>Week1</v>
      </c>
      <c r="N9"/>
    </row>
    <row r="10" spans="1:22" ht="21" x14ac:dyDescent="0.35">
      <c r="A10" s="62">
        <f t="shared" si="0"/>
        <v>46061</v>
      </c>
      <c r="B10" s="24">
        <f t="shared" si="1"/>
        <v>7</v>
      </c>
      <c r="C10" s="24"/>
      <c r="D10" s="24"/>
      <c r="E10" s="24"/>
      <c r="F10" s="24"/>
      <c r="G10" s="24"/>
      <c r="H10" s="24" t="str">
        <f t="shared" si="2"/>
        <v/>
      </c>
      <c r="I10" s="24"/>
      <c r="J10" s="24" t="str" cm="1">
        <f t="array" ref="J10">IF(
 COUNTA(C10:G10)=0,
 "",
 SUM(
  _xlfn.XLOOKUP(
   TRIM(
    _xlfn.TEXTSPLIT(
     SUBSTITUTE(C10&amp;","&amp;D10&amp;","&amp;E10&amp;","&amp;F10&amp;","&amp;G10,CHAR(10),""),
     ","
    )
   ),
   Food_Master[Code],
   Food_Master[Calories],
   0
  )
 )
)</f>
        <v/>
      </c>
      <c r="K10" s="24"/>
      <c r="L10" s="1" t="str">
        <f t="shared" si="3"/>
        <v>Week2</v>
      </c>
      <c r="N10"/>
      <c r="Q10" s="65"/>
    </row>
    <row r="11" spans="1:22" ht="21" x14ac:dyDescent="0.25">
      <c r="A11" s="62">
        <f t="shared" si="0"/>
        <v>46062</v>
      </c>
      <c r="B11" s="24">
        <f t="shared" si="1"/>
        <v>1</v>
      </c>
      <c r="C11" s="64"/>
      <c r="D11" s="64"/>
      <c r="E11" s="64"/>
      <c r="F11" s="64"/>
      <c r="G11" s="64"/>
      <c r="H11" s="24" t="str">
        <f t="shared" si="2"/>
        <v/>
      </c>
      <c r="I11" s="24"/>
      <c r="J11" s="24" t="str" cm="1">
        <f t="array" ref="J11">IF(
 COUNTA(C11:G11)=0,
 "",
 SUM(
  _xlfn.XLOOKUP(
   TRIM(
    _xlfn.TEXTSPLIT(
     SUBSTITUTE(C11&amp;","&amp;D11&amp;","&amp;E11&amp;","&amp;F11&amp;","&amp;G11,CHAR(10),""),
     ","
    )
   ),
   Food_Master[Code],
   Food_Master[Calories],
   0
  )
 )
)</f>
        <v/>
      </c>
      <c r="K11" s="24"/>
      <c r="L11" s="1" t="str">
        <f t="shared" si="3"/>
        <v>Week2</v>
      </c>
      <c r="N11"/>
    </row>
    <row r="12" spans="1:22" x14ac:dyDescent="0.25">
      <c r="A12" s="62">
        <f t="shared" si="0"/>
        <v>46063</v>
      </c>
      <c r="B12" s="24">
        <f t="shared" si="1"/>
        <v>2</v>
      </c>
      <c r="C12" s="24"/>
      <c r="D12" s="24"/>
      <c r="E12" s="24"/>
      <c r="F12" s="24"/>
      <c r="G12" s="24"/>
      <c r="H12" s="24" t="str">
        <f t="shared" si="2"/>
        <v/>
      </c>
      <c r="I12" s="24"/>
      <c r="J12" s="24" t="str" cm="1">
        <f t="array" ref="J12">IF(
 COUNTA(C12:G12)=0,
 "",
 SUM(
  _xlfn.XLOOKUP(
   TRIM(
    _xlfn.TEXTSPLIT(
     SUBSTITUTE(C12&amp;","&amp;D12&amp;","&amp;E12&amp;","&amp;F12&amp;","&amp;G12,CHAR(10),""),
     ","
    )
   ),
   Food_Master[Code],
   Food_Master[Calories],
   0
  )
 )
)</f>
        <v/>
      </c>
      <c r="K12" s="24"/>
      <c r="L12" s="1" t="str">
        <f t="shared" si="3"/>
        <v>Week2</v>
      </c>
      <c r="N12"/>
    </row>
    <row r="13" spans="1:22" x14ac:dyDescent="0.25">
      <c r="A13" s="62">
        <f t="shared" si="0"/>
        <v>46064</v>
      </c>
      <c r="B13" s="24">
        <f t="shared" si="1"/>
        <v>3</v>
      </c>
      <c r="C13" s="24"/>
      <c r="D13" s="24"/>
      <c r="E13" s="24"/>
      <c r="F13" s="24"/>
      <c r="G13" s="24"/>
      <c r="H13" s="24" t="str">
        <f t="shared" si="2"/>
        <v/>
      </c>
      <c r="I13" s="24"/>
      <c r="J13" s="24" t="str" cm="1">
        <f t="array" ref="J13">IF(
 COUNTA(C13:G13)=0,
 "",
 SUM(
  _xlfn.XLOOKUP(
   TRIM(
    _xlfn.TEXTSPLIT(
     SUBSTITUTE(C13&amp;","&amp;D13&amp;","&amp;E13&amp;","&amp;F13&amp;","&amp;G13,CHAR(10),""),
     ","
    )
   ),
   Food_Master[Code],
   Food_Master[Calories],
   0
  )
 )
)</f>
        <v/>
      </c>
      <c r="K13" s="24"/>
      <c r="L13" s="1" t="str">
        <f t="shared" si="3"/>
        <v>Week2</v>
      </c>
      <c r="N13"/>
    </row>
    <row r="14" spans="1:22" x14ac:dyDescent="0.25">
      <c r="A14" s="62">
        <f t="shared" si="0"/>
        <v>46065</v>
      </c>
      <c r="B14" s="24">
        <f t="shared" si="1"/>
        <v>4</v>
      </c>
      <c r="C14" s="24"/>
      <c r="D14" s="24"/>
      <c r="E14" s="24"/>
      <c r="F14" s="24"/>
      <c r="G14" s="24"/>
      <c r="H14" s="24" t="str">
        <f t="shared" si="2"/>
        <v/>
      </c>
      <c r="I14" s="24"/>
      <c r="J14" s="24" t="str" cm="1">
        <f t="array" ref="J14">IF(
 COUNTA(C14:G14)=0,
 "",
 SUM(
  _xlfn.XLOOKUP(
   TRIM(
    _xlfn.TEXTSPLIT(
     SUBSTITUTE(C14&amp;","&amp;D14&amp;","&amp;E14&amp;","&amp;F14&amp;","&amp;G14,CHAR(10),""),
     ","
    )
   ),
   Food_Master[Code],
   Food_Master[Calories],
   0
  )
 )
)</f>
        <v/>
      </c>
      <c r="K14" s="24"/>
      <c r="L14" s="1" t="str">
        <f t="shared" si="3"/>
        <v>Week2</v>
      </c>
      <c r="N14"/>
    </row>
    <row r="15" spans="1:22" x14ac:dyDescent="0.25">
      <c r="A15" s="62">
        <f t="shared" si="0"/>
        <v>46066</v>
      </c>
      <c r="B15" s="24">
        <f t="shared" si="1"/>
        <v>5</v>
      </c>
      <c r="C15" s="24"/>
      <c r="D15" s="24"/>
      <c r="E15" s="24"/>
      <c r="F15" s="24"/>
      <c r="G15" s="24"/>
      <c r="H15" s="24" t="str">
        <f t="shared" si="2"/>
        <v/>
      </c>
      <c r="I15" s="24"/>
      <c r="J15" s="24" t="str" cm="1">
        <f t="array" ref="J15">IF(
 COUNTA(C15:G15)=0,
 "",
 SUM(
  _xlfn.XLOOKUP(
   TRIM(
    _xlfn.TEXTSPLIT(
     SUBSTITUTE(C15&amp;","&amp;D15&amp;","&amp;E15&amp;","&amp;F15&amp;","&amp;G15,CHAR(10),""),
     ","
    )
   ),
   Food_Master[Code],
   Food_Master[Calories],
   0
  )
 )
)</f>
        <v/>
      </c>
      <c r="K15" s="24"/>
      <c r="L15" s="1" t="str">
        <f t="shared" si="3"/>
        <v>Week2</v>
      </c>
      <c r="N15"/>
    </row>
    <row r="16" spans="1:22" x14ac:dyDescent="0.25">
      <c r="A16" s="62">
        <f t="shared" si="0"/>
        <v>46067</v>
      </c>
      <c r="B16" s="24">
        <f t="shared" si="1"/>
        <v>6</v>
      </c>
      <c r="C16" s="24"/>
      <c r="D16" s="24"/>
      <c r="E16" s="24"/>
      <c r="F16" s="24"/>
      <c r="G16" s="24"/>
      <c r="H16" s="24" t="str">
        <f t="shared" si="2"/>
        <v/>
      </c>
      <c r="I16" s="24"/>
      <c r="J16" s="24" t="str" cm="1">
        <f t="array" ref="J16">IF(
 COUNTA(C16:G16)=0,
 "",
 SUM(
  _xlfn.XLOOKUP(
   TRIM(
    _xlfn.TEXTSPLIT(
     SUBSTITUTE(C16&amp;","&amp;D16&amp;","&amp;E16&amp;","&amp;F16&amp;","&amp;G16,CHAR(10),""),
     ","
    )
   ),
   Food_Master[Code],
   Food_Master[Calories],
   0
  )
 )
)</f>
        <v/>
      </c>
      <c r="K16" s="63"/>
      <c r="L16" s="1" t="str">
        <f t="shared" si="3"/>
        <v>Week2</v>
      </c>
      <c r="N16"/>
    </row>
    <row r="17" spans="1:16" x14ac:dyDescent="0.25">
      <c r="A17" s="62">
        <f t="shared" si="0"/>
        <v>46068</v>
      </c>
      <c r="B17" s="24">
        <f t="shared" si="1"/>
        <v>7</v>
      </c>
      <c r="C17" s="24"/>
      <c r="D17" s="24"/>
      <c r="E17" s="24"/>
      <c r="F17" s="24"/>
      <c r="G17" s="24"/>
      <c r="H17" s="24" t="str">
        <f t="shared" si="2"/>
        <v/>
      </c>
      <c r="I17" s="24"/>
      <c r="J17" s="24" t="str" cm="1">
        <f t="array" ref="J17">IF(
 COUNTA(C17:G17)=0,
 "",
 SUM(
  _xlfn.XLOOKUP(
   TRIM(
    _xlfn.TEXTSPLIT(
     SUBSTITUTE(C17&amp;","&amp;D17&amp;","&amp;E17&amp;","&amp;F17&amp;","&amp;G17,CHAR(10),""),
     ","
    )
   ),
   Food_Master[Code],
   Food_Master[Calories],
   0
  )
 )
)</f>
        <v/>
      </c>
      <c r="K17" s="24"/>
      <c r="L17" s="1" t="str">
        <f t="shared" si="3"/>
        <v>Week3</v>
      </c>
      <c r="N17"/>
    </row>
    <row r="18" spans="1:16" x14ac:dyDescent="0.25">
      <c r="A18" s="62">
        <f t="shared" si="0"/>
        <v>46069</v>
      </c>
      <c r="B18" s="24">
        <f t="shared" si="1"/>
        <v>1</v>
      </c>
      <c r="C18" s="24"/>
      <c r="D18" s="24"/>
      <c r="E18" s="24"/>
      <c r="F18" s="24"/>
      <c r="G18" s="24"/>
      <c r="H18" s="24" t="str">
        <f t="shared" si="2"/>
        <v/>
      </c>
      <c r="I18" s="24"/>
      <c r="J18" s="24" t="str" cm="1">
        <f t="array" ref="J18">IF(
 COUNTA(C18:G18)=0,
 "",
 SUM(
  _xlfn.XLOOKUP(
   TRIM(
    _xlfn.TEXTSPLIT(
     SUBSTITUTE(C18&amp;","&amp;D18&amp;","&amp;E18&amp;","&amp;F18&amp;","&amp;G18,CHAR(10),""),
     ","
    )
   ),
   Food_Master[Code],
   Food_Master[Calories],
   0
  )
 )
)</f>
        <v/>
      </c>
      <c r="K18" s="24"/>
      <c r="L18" s="1" t="str">
        <f t="shared" si="3"/>
        <v>Week3</v>
      </c>
      <c r="N18"/>
    </row>
    <row r="19" spans="1:16" x14ac:dyDescent="0.25">
      <c r="A19" s="62">
        <f t="shared" si="0"/>
        <v>46070</v>
      </c>
      <c r="B19" s="24">
        <f t="shared" si="1"/>
        <v>2</v>
      </c>
      <c r="C19" s="24"/>
      <c r="D19" s="24"/>
      <c r="E19" s="24"/>
      <c r="F19" s="24"/>
      <c r="G19" s="24"/>
      <c r="H19" s="24" t="str">
        <f t="shared" si="2"/>
        <v/>
      </c>
      <c r="I19" s="24"/>
      <c r="J19" s="24" t="str" cm="1">
        <f t="array" ref="J19">IF(
 COUNTA(C19:G19)=0,
 "",
 SUM(
  _xlfn.XLOOKUP(
   TRIM(
    _xlfn.TEXTSPLIT(
     SUBSTITUTE(C19&amp;","&amp;D19&amp;","&amp;E19&amp;","&amp;F19&amp;","&amp;G19,CHAR(10),""),
     ","
    )
   ),
   Food_Master[Code],
   Food_Master[Calories],
   0
  )
 )
)</f>
        <v/>
      </c>
      <c r="K19" s="24"/>
      <c r="L19" s="1" t="str">
        <f t="shared" si="3"/>
        <v>Week3</v>
      </c>
      <c r="N19"/>
    </row>
    <row r="20" spans="1:16" ht="21" x14ac:dyDescent="0.25">
      <c r="A20" s="62">
        <f t="shared" si="0"/>
        <v>46071</v>
      </c>
      <c r="B20" s="24">
        <f t="shared" si="1"/>
        <v>3</v>
      </c>
      <c r="C20" s="64"/>
      <c r="D20" s="64"/>
      <c r="E20" s="64"/>
      <c r="F20" s="64"/>
      <c r="G20" s="64"/>
      <c r="H20" s="24" t="str">
        <f t="shared" si="2"/>
        <v/>
      </c>
      <c r="I20" s="24"/>
      <c r="J20" s="24" t="str" cm="1">
        <f t="array" ref="J20">IF(
 COUNTA(C20:G20)=0,
 "",
 SUM(
  _xlfn.XLOOKUP(
   TRIM(
    _xlfn.TEXTSPLIT(
     SUBSTITUTE(C20&amp;","&amp;D20&amp;","&amp;E20&amp;","&amp;F20&amp;","&amp;G20,CHAR(10),""),
     ","
    )
   ),
   Food_Master[Code],
   Food_Master[Calories],
   0
  )
 )
)</f>
        <v/>
      </c>
      <c r="K20" s="24"/>
      <c r="L20" s="1" t="str">
        <f t="shared" si="3"/>
        <v>Week3</v>
      </c>
      <c r="N20"/>
    </row>
    <row r="21" spans="1:16" x14ac:dyDescent="0.25">
      <c r="A21" s="62">
        <f t="shared" si="0"/>
        <v>46072</v>
      </c>
      <c r="B21" s="24">
        <f t="shared" si="1"/>
        <v>4</v>
      </c>
      <c r="C21" s="24"/>
      <c r="D21" s="24"/>
      <c r="E21" s="24"/>
      <c r="F21" s="24"/>
      <c r="G21" s="24"/>
      <c r="H21" s="24" t="str">
        <f t="shared" si="2"/>
        <v/>
      </c>
      <c r="I21" s="24"/>
      <c r="J21" s="24" t="str" cm="1">
        <f t="array" ref="J21">IF(
 COUNTA(C21:G21)=0,
 "",
 SUM(
  _xlfn.XLOOKUP(
   TRIM(
    _xlfn.TEXTSPLIT(
     SUBSTITUTE(C21&amp;","&amp;D21&amp;","&amp;E21&amp;","&amp;F21&amp;","&amp;G21,CHAR(10),""),
     ","
    )
   ),
   Food_Master[Code],
   Food_Master[Calories],
   0
  )
 )
)</f>
        <v/>
      </c>
      <c r="K21" s="24"/>
      <c r="L21" s="1" t="str">
        <f t="shared" si="3"/>
        <v>Week3</v>
      </c>
      <c r="N21"/>
    </row>
    <row r="22" spans="1:16" x14ac:dyDescent="0.25">
      <c r="A22" s="62">
        <f t="shared" si="0"/>
        <v>46073</v>
      </c>
      <c r="B22" s="24">
        <f t="shared" si="1"/>
        <v>5</v>
      </c>
      <c r="C22" s="24"/>
      <c r="D22" s="24"/>
      <c r="E22" s="24"/>
      <c r="F22" s="24"/>
      <c r="G22" s="24"/>
      <c r="H22" s="24" t="str">
        <f t="shared" si="2"/>
        <v/>
      </c>
      <c r="I22" s="24"/>
      <c r="J22" s="24" t="str" cm="1">
        <f t="array" ref="J22">IF(
 COUNTA(C22:G22)=0,
 "",
 SUM(
  _xlfn.XLOOKUP(
   TRIM(
    _xlfn.TEXTSPLIT(
     SUBSTITUTE(C22&amp;","&amp;D22&amp;","&amp;E22&amp;","&amp;F22&amp;","&amp;G22,CHAR(10),""),
     ","
    )
   ),
   Food_Master[Code],
   Food_Master[Calories],
   0
  )
 )
)</f>
        <v/>
      </c>
      <c r="K22" s="24"/>
      <c r="L22" s="1" t="str">
        <f t="shared" si="3"/>
        <v>Week3</v>
      </c>
      <c r="N22"/>
    </row>
    <row r="23" spans="1:16" x14ac:dyDescent="0.25">
      <c r="A23" s="62">
        <f t="shared" si="0"/>
        <v>46074</v>
      </c>
      <c r="B23" s="24">
        <f t="shared" si="1"/>
        <v>6</v>
      </c>
      <c r="C23" s="24"/>
      <c r="D23" s="24"/>
      <c r="E23" s="24"/>
      <c r="F23" s="24"/>
      <c r="G23" s="24"/>
      <c r="H23" s="24" t="str">
        <f t="shared" si="2"/>
        <v/>
      </c>
      <c r="I23" s="24"/>
      <c r="J23" s="24" t="str" cm="1">
        <f t="array" ref="J23">IF(
 COUNTA(C23:G23)=0,
 "",
 SUM(
  _xlfn.XLOOKUP(
   TRIM(
    _xlfn.TEXTSPLIT(
     SUBSTITUTE(C23&amp;","&amp;D23&amp;","&amp;E23&amp;","&amp;F23&amp;","&amp;G23,CHAR(10),""),
     ","
    )
   ),
   Food_Master[Code],
   Food_Master[Calories],
   0
  )
 )
)</f>
        <v/>
      </c>
      <c r="K23" s="63"/>
      <c r="L23" s="1" t="str">
        <f t="shared" si="3"/>
        <v>Week3</v>
      </c>
      <c r="N23"/>
    </row>
    <row r="24" spans="1:16" x14ac:dyDescent="0.25">
      <c r="A24" s="62">
        <f t="shared" si="0"/>
        <v>46075</v>
      </c>
      <c r="B24" s="24">
        <f t="shared" si="1"/>
        <v>7</v>
      </c>
      <c r="C24" s="24"/>
      <c r="D24" s="24"/>
      <c r="E24" s="24"/>
      <c r="F24" s="24"/>
      <c r="G24" s="24"/>
      <c r="H24" s="24" t="str">
        <f t="shared" si="2"/>
        <v/>
      </c>
      <c r="I24" s="24"/>
      <c r="J24" s="24" t="str" cm="1">
        <f t="array" ref="J24">IF(
 COUNTA(C24:G24)=0,
 "",
 SUM(
  _xlfn.XLOOKUP(
   TRIM(
    _xlfn.TEXTSPLIT(
     SUBSTITUTE(C24&amp;","&amp;D24&amp;","&amp;E24&amp;","&amp;F24&amp;","&amp;G24,CHAR(10),""),
     ","
    )
   ),
   Food_Master[Code],
   Food_Master[Calories],
   0
  )
 )
)</f>
        <v/>
      </c>
      <c r="K24" s="24"/>
      <c r="L24" s="1" t="str">
        <f t="shared" si="3"/>
        <v>Week4</v>
      </c>
      <c r="N24"/>
    </row>
    <row r="25" spans="1:16" x14ac:dyDescent="0.25">
      <c r="A25" s="62">
        <f t="shared" si="0"/>
        <v>46076</v>
      </c>
      <c r="B25" s="24">
        <f t="shared" si="1"/>
        <v>1</v>
      </c>
      <c r="C25" s="24"/>
      <c r="D25" s="24"/>
      <c r="E25" s="24"/>
      <c r="F25" s="24"/>
      <c r="G25" s="24"/>
      <c r="H25" s="24" t="str">
        <f t="shared" si="2"/>
        <v/>
      </c>
      <c r="I25" s="24"/>
      <c r="J25" s="24" t="str" cm="1">
        <f t="array" ref="J25">IF(
 COUNTA(C25:G25)=0,
 "",
 SUM(
  _xlfn.XLOOKUP(
   TRIM(
    _xlfn.TEXTSPLIT(
     SUBSTITUTE(C25&amp;","&amp;D25&amp;","&amp;E25&amp;","&amp;F25&amp;","&amp;G25,CHAR(10),""),
     ","
    )
   ),
   Food_Master[Code],
   Food_Master[Calories],
   0
  )
 )
)</f>
        <v/>
      </c>
      <c r="K25" s="24"/>
      <c r="L25" s="1" t="str">
        <f t="shared" si="3"/>
        <v>Week4</v>
      </c>
      <c r="N25"/>
    </row>
    <row r="26" spans="1:16" x14ac:dyDescent="0.25">
      <c r="A26" s="62">
        <f t="shared" si="0"/>
        <v>46077</v>
      </c>
      <c r="B26" s="24">
        <f t="shared" si="1"/>
        <v>2</v>
      </c>
      <c r="C26" s="24"/>
      <c r="D26" s="24"/>
      <c r="E26" s="24"/>
      <c r="F26" s="24"/>
      <c r="G26" s="24"/>
      <c r="H26" s="24" t="str">
        <f t="shared" si="2"/>
        <v/>
      </c>
      <c r="I26" s="24"/>
      <c r="J26" s="24" t="str" cm="1">
        <f t="array" ref="J26">IF(
 COUNTA(C26:G26)=0,
 "",
 SUM(
  _xlfn.XLOOKUP(
   TRIM(
    _xlfn.TEXTSPLIT(
     SUBSTITUTE(C26&amp;","&amp;D26&amp;","&amp;E26&amp;","&amp;F26&amp;","&amp;G26,CHAR(10),""),
     ","
    )
   ),
   Food_Master[Code],
   Food_Master[Calories],
   0
  )
 )
)</f>
        <v/>
      </c>
      <c r="K26" s="24"/>
      <c r="L26" s="1" t="str">
        <f t="shared" si="3"/>
        <v>Week4</v>
      </c>
      <c r="N26" s="1"/>
      <c r="O26" s="1"/>
    </row>
    <row r="27" spans="1:16" x14ac:dyDescent="0.25">
      <c r="A27" s="62">
        <f t="shared" si="0"/>
        <v>46078</v>
      </c>
      <c r="B27" s="24">
        <f t="shared" si="1"/>
        <v>3</v>
      </c>
      <c r="C27" s="24"/>
      <c r="D27" s="24"/>
      <c r="E27" s="24"/>
      <c r="F27" s="24"/>
      <c r="G27" s="24"/>
      <c r="H27" s="24" t="str">
        <f t="shared" si="2"/>
        <v/>
      </c>
      <c r="I27" s="24"/>
      <c r="J27" s="24" t="str" cm="1">
        <f t="array" ref="J27">IF(
 COUNTA(C27:G27)=0,
 "",
 SUM(
  _xlfn.XLOOKUP(
   TRIM(
    _xlfn.TEXTSPLIT(
     SUBSTITUTE(C27&amp;","&amp;D27&amp;","&amp;E27&amp;","&amp;F27&amp;","&amp;G27,CHAR(10),""),
     ","
    )
   ),
   Food_Master[Code],
   Food_Master[Calories],
   0
  )
 )
)</f>
        <v/>
      </c>
      <c r="K27" s="24"/>
      <c r="L27" s="1" t="str">
        <f t="shared" si="3"/>
        <v>Week4</v>
      </c>
      <c r="O27" s="1"/>
      <c r="P27" s="1"/>
    </row>
    <row r="28" spans="1:16" x14ac:dyDescent="0.25">
      <c r="A28" s="62">
        <f t="shared" si="0"/>
        <v>46079</v>
      </c>
      <c r="B28" s="24">
        <f t="shared" si="1"/>
        <v>4</v>
      </c>
      <c r="C28" s="24"/>
      <c r="D28" s="24"/>
      <c r="E28" s="24"/>
      <c r="F28" s="24"/>
      <c r="G28" s="24"/>
      <c r="H28" s="24" t="str">
        <f t="shared" si="2"/>
        <v/>
      </c>
      <c r="I28" s="24"/>
      <c r="J28" s="24" t="str" cm="1">
        <f t="array" ref="J28">IF(
 COUNTA(C28:G28)=0,
 "",
 SUM(
  _xlfn.XLOOKUP(
   TRIM(
    _xlfn.TEXTSPLIT(
     SUBSTITUTE(C28&amp;","&amp;D28&amp;","&amp;E28&amp;","&amp;F28&amp;","&amp;G28,CHAR(10),""),
     ","
    )
   ),
   Food_Master[Code],
   Food_Master[Calories],
   0
  )
 )
)</f>
        <v/>
      </c>
      <c r="K28" s="24"/>
      <c r="L28" s="1" t="str">
        <f t="shared" si="3"/>
        <v>Week4</v>
      </c>
      <c r="O28" s="1"/>
      <c r="P28" s="1"/>
    </row>
    <row r="29" spans="1:16" x14ac:dyDescent="0.25">
      <c r="A29" s="62">
        <f t="shared" si="0"/>
        <v>46080</v>
      </c>
      <c r="B29" s="24">
        <f t="shared" si="1"/>
        <v>5</v>
      </c>
      <c r="C29" s="24"/>
      <c r="D29" s="24"/>
      <c r="E29" s="24"/>
      <c r="F29" s="24"/>
      <c r="G29" s="24"/>
      <c r="H29" s="24" t="str">
        <f t="shared" si="2"/>
        <v/>
      </c>
      <c r="I29" s="24"/>
      <c r="J29" s="24" t="str" cm="1">
        <f t="array" ref="J29">IF(
 COUNTA(C29:G29)=0,
 "",
 SUM(
  _xlfn.XLOOKUP(
   TRIM(
    _xlfn.TEXTSPLIT(
     SUBSTITUTE(C29&amp;","&amp;D29&amp;","&amp;E29&amp;","&amp;F29&amp;","&amp;G29,CHAR(10),""),
     ","
    )
   ),
   Food_Master[Code],
   Food_Master[Calories],
   0
  )
 )
)</f>
        <v/>
      </c>
      <c r="K29" s="24"/>
      <c r="L29" s="1" t="str">
        <f t="shared" si="3"/>
        <v>Week4</v>
      </c>
      <c r="O29" s="1"/>
      <c r="P29" s="1"/>
    </row>
  </sheetData>
  <dataConsolidate/>
  <conditionalFormatting sqref="C3:G29">
    <cfRule type="expression" dxfId="2" priority="2">
      <formula>C3=""</formula>
    </cfRule>
  </conditionalFormatting>
  <conditionalFormatting sqref="J3:J29">
    <cfRule type="colorScale" priority="4">
      <colorScale>
        <cfvo type="num" val="1500"/>
        <cfvo type="num" val="1600"/>
        <cfvo type="num" val="1700"/>
        <color theme="9"/>
        <color rgb="FFFFEB84"/>
        <color rgb="FFFF4343"/>
      </colorScale>
    </cfRule>
  </conditionalFormatting>
  <conditionalFormatting sqref="P3:P6">
    <cfRule type="colorScale" priority="3">
      <colorScale>
        <cfvo type="num" val="1500"/>
        <cfvo type="num" val="1600"/>
        <cfvo type="num" val="1700"/>
        <color theme="9"/>
        <color rgb="FFFFEB84"/>
        <color rgb="FFFF0000"/>
      </colorScale>
    </cfRule>
  </conditionalFormatting>
  <conditionalFormatting sqref="V3:V6">
    <cfRule type="colorScale" priority="1">
      <colorScale>
        <cfvo type="num" val="0"/>
        <cfvo type="percentile" val="50"/>
        <cfvo type="num" val="1"/>
        <color rgb="FFFF4343"/>
        <color rgb="FFFFEB84"/>
        <color rgb="FF63BE7B"/>
      </colorScale>
    </cfRule>
  </conditionalFormatting>
  <dataValidations count="3">
    <dataValidation type="custom" allowBlank="1" showInputMessage="1" showErrorMessage="1" sqref="P3:P6" xr:uid="{07758B8A-8105-4046-94BE-2A35571E09E6}">
      <formula1>AVERAGEIF(J3:J9,"&gt;0")</formula1>
    </dataValidation>
    <dataValidation type="custom" allowBlank="1" showInputMessage="1" showErrorMessage="1" sqref="K16 K23" xr:uid="{3B85397B-1EAF-49D5-923D-78564442FBB8}">
      <formula1>AVERAGEIF(J10:J16,"&gt;0")</formula1>
    </dataValidation>
    <dataValidation type="list" allowBlank="1" showInputMessage="1" showErrorMessage="1" sqref="H2 I2:I29" xr:uid="{40E07E0F-0095-4EBC-A7C2-1DF9E2D917FE}">
      <formula1>"Yes,No"</formula1>
    </dataValidation>
  </dataValidations>
  <pageMargins left="0.7" right="0.7" top="0.75" bottom="0.75" header="0.3" footer="0.3"/>
  <pageSetup orientation="portrait" r:id="rId1"/>
  <ignoredErrors>
    <ignoredError sqref="S4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82B2B-AE02-4FAF-876D-AD6A913D67E9}">
  <dimension ref="A1:V33"/>
  <sheetViews>
    <sheetView workbookViewId="0">
      <pane ySplit="2" topLeftCell="A7" activePane="bottomLeft" state="frozen"/>
      <selection pane="bottomLeft" activeCell="I10" sqref="I10"/>
    </sheetView>
  </sheetViews>
  <sheetFormatPr defaultRowHeight="15" x14ac:dyDescent="0.25"/>
  <cols>
    <col min="1" max="1" width="12.28515625" style="26" bestFit="1" customWidth="1"/>
    <col min="2" max="2" width="11.42578125" bestFit="1" customWidth="1"/>
    <col min="3" max="3" width="16.28515625" style="26" bestFit="1" customWidth="1"/>
    <col min="4" max="4" width="16.140625" style="26" bestFit="1" customWidth="1"/>
    <col min="5" max="5" width="11.140625" style="26" customWidth="1"/>
    <col min="6" max="6" width="9.7109375" style="26" bestFit="1" customWidth="1"/>
    <col min="7" max="7" width="12.42578125" style="26" customWidth="1"/>
    <col min="8" max="8" width="19.140625" style="26" bestFit="1" customWidth="1"/>
    <col min="9" max="9" width="13.7109375" style="26" bestFit="1" customWidth="1"/>
    <col min="10" max="10" width="15.5703125" style="26" customWidth="1"/>
    <col min="11" max="11" width="14" bestFit="1" customWidth="1"/>
    <col min="12" max="12" width="9.5703125" hidden="1" customWidth="1"/>
    <col min="13" max="14" width="10.85546875" style="11" customWidth="1"/>
    <col min="15" max="15" width="8.85546875" customWidth="1"/>
    <col min="16" max="16" width="11" customWidth="1"/>
    <col min="17" max="17" width="11.28515625" customWidth="1"/>
    <col min="18" max="18" width="7.42578125" customWidth="1"/>
    <col min="19" max="19" width="11" customWidth="1"/>
    <col min="20" max="20" width="12.140625" customWidth="1"/>
    <col min="21" max="21" width="7.140625" customWidth="1"/>
    <col min="22" max="22" width="11.5703125" customWidth="1"/>
    <col min="23" max="23" width="11.140625" customWidth="1"/>
  </cols>
  <sheetData>
    <row r="1" spans="1:22" s="70" customFormat="1" ht="26.25" customHeight="1" x14ac:dyDescent="0.25">
      <c r="A1" s="85" t="s">
        <v>116</v>
      </c>
      <c r="B1" s="83"/>
      <c r="C1" s="84">
        <v>46082</v>
      </c>
      <c r="D1" s="83"/>
      <c r="E1" s="83"/>
      <c r="F1" s="83"/>
      <c r="G1" s="83"/>
      <c r="H1" s="83"/>
      <c r="I1" s="83"/>
      <c r="J1" s="83"/>
      <c r="K1" s="83"/>
      <c r="L1" s="83"/>
      <c r="N1"/>
    </row>
    <row r="2" spans="1:22" ht="40.5" customHeight="1" x14ac:dyDescent="0.35">
      <c r="A2" s="67" t="s">
        <v>50</v>
      </c>
      <c r="B2" s="68" t="s">
        <v>0</v>
      </c>
      <c r="C2" s="67" t="s">
        <v>32</v>
      </c>
      <c r="D2" s="67" t="s">
        <v>1</v>
      </c>
      <c r="E2" s="67" t="s">
        <v>2</v>
      </c>
      <c r="F2" s="67" t="s">
        <v>3</v>
      </c>
      <c r="G2" s="67" t="s">
        <v>4</v>
      </c>
      <c r="H2" s="67" t="s">
        <v>5</v>
      </c>
      <c r="I2" s="67" t="s">
        <v>6</v>
      </c>
      <c r="J2" s="67" t="s">
        <v>112</v>
      </c>
      <c r="K2" s="67" t="s">
        <v>105</v>
      </c>
      <c r="L2" s="67" t="s">
        <v>115</v>
      </c>
      <c r="N2"/>
      <c r="O2" s="72" t="s">
        <v>49</v>
      </c>
      <c r="P2" s="72"/>
      <c r="R2" s="82" t="s">
        <v>107</v>
      </c>
      <c r="S2" s="73"/>
      <c r="U2" s="81" t="s">
        <v>106</v>
      </c>
      <c r="V2" s="71"/>
    </row>
    <row r="3" spans="1:22" x14ac:dyDescent="0.25">
      <c r="A3" s="62">
        <f>IF(ROW()-ROW($A$3)+1&gt;DAY(EOMONTH($C$1,0)),"",$C$1+ROW()-ROW($A$3))</f>
        <v>46082</v>
      </c>
      <c r="B3" s="24">
        <f>IFERROR(WEEKDAY(A3,2), "")</f>
        <v>7</v>
      </c>
      <c r="C3" s="24"/>
      <c r="D3" s="24"/>
      <c r="E3" s="24"/>
      <c r="F3" s="24"/>
      <c r="G3" s="24"/>
      <c r="H3" s="24" t="str">
        <f>IF(J3="","",IF(J3&lt;=1500,"OK","Too High"))</f>
        <v/>
      </c>
      <c r="I3" s="24"/>
      <c r="J3" s="24" t="str" cm="1">
        <f t="array" ref="J3">IF(
 COUNTA(C3:G3)=0,
 "",
 SUM(
  _xlfn.XLOOKUP(
   TRIM(
    _xlfn.TEXTSPLIT(
     SUBSTITUTE(C3&amp;","&amp;D3&amp;","&amp;E3&amp;","&amp;F3&amp;","&amp;G3,CHAR(10),""),
     ","
    )
   ),
   Food_Master[Code],
   Food_Master[Calories],
   0
  )
 )
)</f>
        <v/>
      </c>
      <c r="K3" s="24"/>
      <c r="L3" s="1" t="str">
        <f>IFERROR("Week"&amp;INT((DAY(A3)-1)/7)+1, "")</f>
        <v>Week1</v>
      </c>
      <c r="N3"/>
      <c r="O3" s="76" t="str" cm="1">
        <f t="array" ref="O3:O6">_xlfn.UNIQUE(L3:L29)</f>
        <v>Week1</v>
      </c>
      <c r="P3" s="66" t="str">
        <f>IF(COUNTIF(J9:J15,"&gt;0")=0,"",AVERAGEIF(J9:J15,"&gt;0"))</f>
        <v/>
      </c>
      <c r="Q3" s="1"/>
      <c r="R3" s="76" t="str" cm="1">
        <f t="array" ref="R3:R6">_xlfn.UNIQUE(L3:L29)</f>
        <v>Week1</v>
      </c>
      <c r="S3" s="77" t="str">
        <f>IFERROR(AVERAGE(K3:K9),"")</f>
        <v/>
      </c>
      <c r="T3" s="1"/>
      <c r="U3" s="76" t="str" cm="1">
        <f t="array" ref="U3:U6">_xlfn.UNIQUE(L3:L29)</f>
        <v>Week1</v>
      </c>
      <c r="V3" s="78">
        <f>IF(COUNTA(J3:J9)=0,0,COUNTIFS(J3:J9,"&gt;0",K3:K9,"&gt;0")/7)</f>
        <v>0</v>
      </c>
    </row>
    <row r="4" spans="1:22" x14ac:dyDescent="0.25">
      <c r="A4" s="62">
        <f t="shared" ref="A4:A5" si="0">IF(ROW()-ROW($A$3)+1&gt;DAY(EOMONTH($C$1,0)),"",$C$1+ROW()-ROW($A$3))</f>
        <v>46083</v>
      </c>
      <c r="B4" s="24">
        <f t="shared" ref="B4:B33" si="1">IFERROR(WEEKDAY(A4,2), "")</f>
        <v>1</v>
      </c>
      <c r="C4" s="24"/>
      <c r="D4" s="24"/>
      <c r="E4" s="24"/>
      <c r="F4" s="24"/>
      <c r="G4" s="24"/>
      <c r="H4" s="24" t="str">
        <f t="shared" ref="H4:H29" si="2">IF(J4="","",IF(J4&lt;=1500,"OK","Too High"))</f>
        <v/>
      </c>
      <c r="I4" s="24"/>
      <c r="J4" s="24" t="str" cm="1">
        <f t="array" ref="J4">IF(
 COUNTA(C4:G4)=0,
 "",
 SUM(
  _xlfn.XLOOKUP(
   TRIM(
    _xlfn.TEXTSPLIT(
     SUBSTITUTE(C4&amp;","&amp;D4&amp;","&amp;E4&amp;","&amp;F4&amp;","&amp;G4,CHAR(10),""),
     ","
    )
   ),
   Food_Master[Code],
   Food_Master[Calories],
   0
  )
 )
)</f>
        <v/>
      </c>
      <c r="K4" s="24"/>
      <c r="L4" s="1" t="str">
        <f t="shared" ref="L4:L33" si="3">IFERROR("Week"&amp;INT((DAY(A4)-1)/7)+1, "")</f>
        <v>Week1</v>
      </c>
      <c r="N4"/>
      <c r="O4" s="76" t="str">
        <v>Week2</v>
      </c>
      <c r="P4" s="66" t="str">
        <f>IF(COUNTIF(J10:J16,"&gt;0")=0,"",AVERAGEIF(J10:J16,"&gt;0"))</f>
        <v/>
      </c>
      <c r="Q4" s="1"/>
      <c r="R4" s="76" t="str">
        <v>Week2</v>
      </c>
      <c r="S4" s="79" t="str">
        <f>IFERROR(AVERAGE(K10:K16),"")</f>
        <v/>
      </c>
      <c r="T4" s="1"/>
      <c r="U4" s="76" t="str">
        <v>Week2</v>
      </c>
      <c r="V4" s="78">
        <f>IF(COUNTA(J10:J16)=0,0,COUNTIFS(J10:J16,"&gt;0",K10:K16,"&gt;0")/7)</f>
        <v>0</v>
      </c>
    </row>
    <row r="5" spans="1:22" x14ac:dyDescent="0.25">
      <c r="A5" s="62">
        <f t="shared" si="0"/>
        <v>46084</v>
      </c>
      <c r="B5" s="24">
        <f t="shared" si="1"/>
        <v>2</v>
      </c>
      <c r="C5" s="24"/>
      <c r="D5" s="24"/>
      <c r="E5" s="24"/>
      <c r="F5" s="24"/>
      <c r="G5" s="24"/>
      <c r="H5" s="24" t="str">
        <f t="shared" si="2"/>
        <v/>
      </c>
      <c r="I5" s="24"/>
      <c r="J5" s="24" t="str" cm="1">
        <f t="array" ref="J5">IF(
 COUNTA(C5:G5)=0,
 "",
 SUM(
  _xlfn.XLOOKUP(
   TRIM(
    _xlfn.TEXTSPLIT(
     SUBSTITUTE(C5&amp;","&amp;D5&amp;","&amp;E5&amp;","&amp;F5&amp;","&amp;G5,CHAR(10),""),
     ","
    )
   ),
   Food_Master[Code],
   Food_Master[Calories],
   0
  )
 )
)</f>
        <v/>
      </c>
      <c r="K5" s="24"/>
      <c r="L5" s="1" t="str">
        <f t="shared" si="3"/>
        <v>Week1</v>
      </c>
      <c r="N5"/>
      <c r="O5" s="76" t="str">
        <v>Week3</v>
      </c>
      <c r="P5" s="66" t="str">
        <f>IF(COUNTIF(J17:J23,"&gt;0")=0,"",AVERAGEIF(J17:J23,"&gt;0"))</f>
        <v/>
      </c>
      <c r="Q5" s="1"/>
      <c r="R5" s="76" t="str">
        <v>Week3</v>
      </c>
      <c r="S5" s="79" t="str">
        <f>IFERROR(AVERAGE(K17:K23),"")</f>
        <v/>
      </c>
      <c r="T5" s="1"/>
      <c r="U5" s="76" t="str">
        <v>Week3</v>
      </c>
      <c r="V5" s="78">
        <f>IF(COUNTA(J17:J23)=0,0,COUNTIFS(J17:J23,"&gt;0",K17:K23,"&gt;0")/7)</f>
        <v>0</v>
      </c>
    </row>
    <row r="6" spans="1:22" x14ac:dyDescent="0.25">
      <c r="A6" s="62">
        <f>IF(ROW()-ROW($A$3)+1&gt;DAY(EOMONTH($C$1,0)),"",$C$1+ROW()-ROW($A$3))</f>
        <v>46085</v>
      </c>
      <c r="B6" s="24">
        <f t="shared" si="1"/>
        <v>3</v>
      </c>
      <c r="C6" s="24"/>
      <c r="D6" s="24"/>
      <c r="E6" s="24"/>
      <c r="F6" s="24"/>
      <c r="G6" s="24"/>
      <c r="H6" s="24" t="str">
        <f t="shared" si="2"/>
        <v/>
      </c>
      <c r="I6" s="24"/>
      <c r="J6" s="24" t="str" cm="1">
        <f t="array" ref="J6">IF(
 COUNTA(C6:G6)=0,
 "",
 SUM(
  _xlfn.XLOOKUP(
   TRIM(
    _xlfn.TEXTSPLIT(
     SUBSTITUTE(C6&amp;","&amp;D6&amp;","&amp;E6&amp;","&amp;F6&amp;","&amp;G6,CHAR(10),""),
     ","
    )
   ),
   Food_Master[Code],
   Food_Master[Calories],
   0
  )
 )
)</f>
        <v/>
      </c>
      <c r="K6" s="24"/>
      <c r="L6" s="1" t="str">
        <f t="shared" si="3"/>
        <v>Week1</v>
      </c>
      <c r="N6"/>
      <c r="O6" s="76" t="str">
        <v>Week4</v>
      </c>
      <c r="P6" s="66" t="str">
        <f>IF(COUNTIF(J24:J29,"&gt;0")=0,"",AVERAGEIF(J24:J29,"&gt;0"))</f>
        <v/>
      </c>
      <c r="Q6" s="1"/>
      <c r="R6" s="76" t="str">
        <v>Week4</v>
      </c>
      <c r="S6" s="79" t="str">
        <f>IFERROR(AVERAGE(K24:K29),"")</f>
        <v/>
      </c>
      <c r="T6" s="1"/>
      <c r="U6" s="76" t="str">
        <v>Week4</v>
      </c>
      <c r="V6" s="78">
        <f>IF(COUNTA(J24:J29)=0,0,COUNTIFS(J24:J29,"&gt;0",K24:K29,"&gt;0")/7)</f>
        <v>0</v>
      </c>
    </row>
    <row r="7" spans="1:22" x14ac:dyDescent="0.25">
      <c r="A7" s="62">
        <f t="shared" ref="A7:A33" si="4">IF(ROW()-ROW($A$3)+1&gt;DAY(EOMONTH($C$1,0)),"",$C$1+ROW()-ROW($A$3))</f>
        <v>46086</v>
      </c>
      <c r="B7" s="24">
        <f t="shared" si="1"/>
        <v>4</v>
      </c>
      <c r="C7" s="24"/>
      <c r="D7" s="24"/>
      <c r="E7" s="24"/>
      <c r="F7" s="24"/>
      <c r="G7" s="24"/>
      <c r="H7" s="24" t="str">
        <f t="shared" si="2"/>
        <v/>
      </c>
      <c r="I7" s="24"/>
      <c r="J7" s="24" t="str" cm="1">
        <f t="array" ref="J7">IF(
 COUNTA(C7:G7)=0,
 "",
 SUM(
  _xlfn.XLOOKUP(
   TRIM(
    _xlfn.TEXTSPLIT(
     SUBSTITUTE(C7&amp;","&amp;D7&amp;","&amp;E7&amp;","&amp;F7&amp;","&amp;G7,CHAR(10),""),
     ","
    )
   ),
   Food_Master[Code],
   Food_Master[Calories],
   0
  )
 )
)</f>
        <v/>
      </c>
      <c r="K7" s="24"/>
      <c r="L7" s="1" t="str">
        <f t="shared" si="3"/>
        <v>Week1</v>
      </c>
      <c r="N7"/>
    </row>
    <row r="8" spans="1:22" x14ac:dyDescent="0.25">
      <c r="A8" s="62">
        <f t="shared" si="4"/>
        <v>46087</v>
      </c>
      <c r="B8" s="24">
        <f t="shared" si="1"/>
        <v>5</v>
      </c>
      <c r="C8" s="24"/>
      <c r="D8" s="24"/>
      <c r="E8" s="24"/>
      <c r="F8" s="24"/>
      <c r="G8" s="24"/>
      <c r="H8" s="24" t="str">
        <f t="shared" si="2"/>
        <v/>
      </c>
      <c r="I8" s="24"/>
      <c r="J8" s="24" t="str" cm="1">
        <f t="array" ref="J8">IF(
 COUNTA(C8:G8)=0,
 "",
 SUM(
  _xlfn.XLOOKUP(
   TRIM(
    _xlfn.TEXTSPLIT(
     SUBSTITUTE(C8&amp;","&amp;D8&amp;","&amp;E8&amp;","&amp;F8&amp;","&amp;G8,CHAR(10),""),
     ","
    )
   ),
   Food_Master[Code],
   Food_Master[Calories],
   0
  )
 )
)</f>
        <v/>
      </c>
      <c r="K8" s="24"/>
      <c r="L8" s="1" t="str">
        <f t="shared" si="3"/>
        <v>Week1</v>
      </c>
      <c r="N8"/>
    </row>
    <row r="9" spans="1:22" x14ac:dyDescent="0.25">
      <c r="A9" s="62">
        <f t="shared" si="4"/>
        <v>46088</v>
      </c>
      <c r="B9" s="24">
        <f t="shared" si="1"/>
        <v>6</v>
      </c>
      <c r="C9" s="24"/>
      <c r="D9" s="24"/>
      <c r="E9" s="24"/>
      <c r="F9" s="24"/>
      <c r="G9" s="24"/>
      <c r="H9" s="24" t="str">
        <f t="shared" si="2"/>
        <v/>
      </c>
      <c r="I9" s="24"/>
      <c r="J9" s="24" t="str" cm="1">
        <f t="array" ref="J9">IF(
 COUNTA(C9:G9)=0,
 "",
 SUM(
  _xlfn.XLOOKUP(
   TRIM(
    _xlfn.TEXTSPLIT(
     SUBSTITUTE(C9&amp;","&amp;D9&amp;","&amp;E9&amp;","&amp;F9&amp;","&amp;G9,CHAR(10),""),
     ","
    )
   ),
   Food_Master[Code],
   Food_Master[Calories],
   0
  )
 )
)</f>
        <v/>
      </c>
      <c r="K9" s="1"/>
      <c r="L9" s="1" t="str">
        <f t="shared" si="3"/>
        <v>Week1</v>
      </c>
      <c r="N9"/>
    </row>
    <row r="10" spans="1:22" ht="21" x14ac:dyDescent="0.35">
      <c r="A10" s="62">
        <f t="shared" si="4"/>
        <v>46089</v>
      </c>
      <c r="B10" s="24">
        <f t="shared" si="1"/>
        <v>7</v>
      </c>
      <c r="C10" s="24"/>
      <c r="D10" s="24"/>
      <c r="E10" s="24"/>
      <c r="F10" s="24"/>
      <c r="G10" s="24"/>
      <c r="H10" s="24" t="str">
        <f t="shared" si="2"/>
        <v/>
      </c>
      <c r="I10" s="24"/>
      <c r="J10" s="24" t="str" cm="1">
        <f t="array" ref="J10">IF(
 COUNTA(C10:G10)=0,
 "",
 SUM(
  _xlfn.XLOOKUP(
   TRIM(
    _xlfn.TEXTSPLIT(
     SUBSTITUTE(C10&amp;","&amp;D10&amp;","&amp;E10&amp;","&amp;F10&amp;","&amp;G10,CHAR(10),""),
     ","
    )
   ),
   Food_Master[Code],
   Food_Master[Calories],
   0
  )
 )
)</f>
        <v/>
      </c>
      <c r="K10" s="24"/>
      <c r="L10" s="1" t="str">
        <f t="shared" si="3"/>
        <v>Week2</v>
      </c>
      <c r="N10"/>
      <c r="Q10" s="65"/>
    </row>
    <row r="11" spans="1:22" ht="21" x14ac:dyDescent="0.25">
      <c r="A11" s="62">
        <f t="shared" si="4"/>
        <v>46090</v>
      </c>
      <c r="B11" s="24">
        <f t="shared" si="1"/>
        <v>1</v>
      </c>
      <c r="C11" s="64"/>
      <c r="D11" s="64"/>
      <c r="E11" s="64"/>
      <c r="F11" s="64"/>
      <c r="G11" s="64"/>
      <c r="H11" s="24" t="str">
        <f t="shared" si="2"/>
        <v/>
      </c>
      <c r="I11" s="24"/>
      <c r="J11" s="24" t="str" cm="1">
        <f t="array" ref="J11">IF(
 COUNTA(C11:G11)=0,
 "",
 SUM(
  _xlfn.XLOOKUP(
   TRIM(
    _xlfn.TEXTSPLIT(
     SUBSTITUTE(C11&amp;","&amp;D11&amp;","&amp;E11&amp;","&amp;F11&amp;","&amp;G11,CHAR(10),""),
     ","
    )
   ),
   Food_Master[Code],
   Food_Master[Calories],
   0
  )
 )
)</f>
        <v/>
      </c>
      <c r="K11" s="24"/>
      <c r="L11" s="1" t="str">
        <f t="shared" si="3"/>
        <v>Week2</v>
      </c>
      <c r="N11"/>
    </row>
    <row r="12" spans="1:22" x14ac:dyDescent="0.25">
      <c r="A12" s="62">
        <f t="shared" si="4"/>
        <v>46091</v>
      </c>
      <c r="B12" s="24">
        <f t="shared" si="1"/>
        <v>2</v>
      </c>
      <c r="C12" s="24"/>
      <c r="D12" s="24"/>
      <c r="E12" s="24"/>
      <c r="F12" s="24"/>
      <c r="G12" s="24"/>
      <c r="H12" s="24" t="str">
        <f t="shared" si="2"/>
        <v/>
      </c>
      <c r="I12" s="24"/>
      <c r="J12" s="24"/>
      <c r="K12" s="24"/>
      <c r="L12" s="1" t="str">
        <f t="shared" si="3"/>
        <v>Week2</v>
      </c>
      <c r="N12"/>
    </row>
    <row r="13" spans="1:22" x14ac:dyDescent="0.25">
      <c r="A13" s="62">
        <f t="shared" si="4"/>
        <v>46092</v>
      </c>
      <c r="B13" s="24">
        <f t="shared" si="1"/>
        <v>3</v>
      </c>
      <c r="C13" s="24"/>
      <c r="D13" s="24"/>
      <c r="E13" s="24"/>
      <c r="F13" s="24"/>
      <c r="G13" s="24"/>
      <c r="H13" s="24" t="str">
        <f t="shared" si="2"/>
        <v/>
      </c>
      <c r="I13" s="24"/>
      <c r="J13" s="24" t="str" cm="1">
        <f t="array" ref="J13">IF(
 COUNTA(C13:G13)=0,
 "",
 SUM(
  _xlfn.XLOOKUP(
   TRIM(
    _xlfn.TEXTSPLIT(
     SUBSTITUTE(C13&amp;","&amp;D13&amp;","&amp;E13&amp;","&amp;F13&amp;","&amp;G13,CHAR(10),""),
     ","
    )
   ),
   Food_Master[Code],
   Food_Master[Calories],
   0
  )
 )
)</f>
        <v/>
      </c>
      <c r="K13" s="24"/>
      <c r="L13" s="1" t="str">
        <f t="shared" si="3"/>
        <v>Week2</v>
      </c>
      <c r="N13"/>
    </row>
    <row r="14" spans="1:22" x14ac:dyDescent="0.25">
      <c r="A14" s="62">
        <f t="shared" si="4"/>
        <v>46093</v>
      </c>
      <c r="B14" s="24">
        <f t="shared" si="1"/>
        <v>4</v>
      </c>
      <c r="C14" s="24"/>
      <c r="D14" s="24"/>
      <c r="E14" s="24"/>
      <c r="F14" s="24"/>
      <c r="G14" s="24"/>
      <c r="H14" s="24" t="str">
        <f t="shared" si="2"/>
        <v/>
      </c>
      <c r="I14" s="24"/>
      <c r="J14" s="24" t="str" cm="1">
        <f t="array" ref="J14">IF(
 COUNTA(C14:G14)=0,
 "",
 SUM(
  _xlfn.XLOOKUP(
   TRIM(
    _xlfn.TEXTSPLIT(
     SUBSTITUTE(C14&amp;","&amp;D14&amp;","&amp;E14&amp;","&amp;F14&amp;","&amp;G14,CHAR(10),""),
     ","
    )
   ),
   Food_Master[Code],
   Food_Master[Calories],
   0
  )
 )
)</f>
        <v/>
      </c>
      <c r="K14" s="24"/>
      <c r="L14" s="1" t="str">
        <f t="shared" si="3"/>
        <v>Week2</v>
      </c>
      <c r="N14"/>
    </row>
    <row r="15" spans="1:22" x14ac:dyDescent="0.25">
      <c r="A15" s="62">
        <f t="shared" si="4"/>
        <v>46094</v>
      </c>
      <c r="B15" s="24">
        <f t="shared" si="1"/>
        <v>5</v>
      </c>
      <c r="C15" s="24"/>
      <c r="D15" s="24"/>
      <c r="E15" s="24"/>
      <c r="F15" s="24"/>
      <c r="G15" s="24"/>
      <c r="H15" s="24" t="str">
        <f t="shared" si="2"/>
        <v/>
      </c>
      <c r="I15" s="24"/>
      <c r="J15" s="24" t="str" cm="1">
        <f t="array" ref="J15">IF(
 COUNTA(C15:G15)=0,
 "",
 SUM(
  _xlfn.XLOOKUP(
   TRIM(
    _xlfn.TEXTSPLIT(
     SUBSTITUTE(C15&amp;","&amp;D15&amp;","&amp;E15&amp;","&amp;F15&amp;","&amp;G15,CHAR(10),""),
     ","
    )
   ),
   Food_Master[Code],
   Food_Master[Calories],
   0
  )
 )
)</f>
        <v/>
      </c>
      <c r="K15" s="24"/>
      <c r="L15" s="1" t="str">
        <f t="shared" si="3"/>
        <v>Week2</v>
      </c>
      <c r="N15"/>
    </row>
    <row r="16" spans="1:22" x14ac:dyDescent="0.25">
      <c r="A16" s="62">
        <f t="shared" si="4"/>
        <v>46095</v>
      </c>
      <c r="B16" s="24">
        <f t="shared" si="1"/>
        <v>6</v>
      </c>
      <c r="C16" s="24"/>
      <c r="D16" s="24"/>
      <c r="E16" s="24"/>
      <c r="F16" s="24"/>
      <c r="G16" s="24"/>
      <c r="H16" s="24" t="str">
        <f t="shared" si="2"/>
        <v/>
      </c>
      <c r="I16" s="24"/>
      <c r="J16" s="24" t="str" cm="1">
        <f t="array" ref="J16">IF(
 COUNTA(C16:G16)=0,
 "",
 SUM(
  _xlfn.XLOOKUP(
   TRIM(
    _xlfn.TEXTSPLIT(
     SUBSTITUTE(C16&amp;","&amp;D16&amp;","&amp;E16&amp;","&amp;F16&amp;","&amp;G16,CHAR(10),""),
     ","
    )
   ),
   Food_Master[Code],
   Food_Master[Calories],
   0
  )
 )
)</f>
        <v/>
      </c>
      <c r="K16" s="63"/>
      <c r="L16" s="1" t="str">
        <f t="shared" si="3"/>
        <v>Week2</v>
      </c>
      <c r="N16"/>
    </row>
    <row r="17" spans="1:16" x14ac:dyDescent="0.25">
      <c r="A17" s="62">
        <f t="shared" si="4"/>
        <v>46096</v>
      </c>
      <c r="B17" s="24">
        <f t="shared" si="1"/>
        <v>7</v>
      </c>
      <c r="C17" s="24"/>
      <c r="D17" s="24"/>
      <c r="E17" s="24"/>
      <c r="F17" s="24"/>
      <c r="G17" s="24"/>
      <c r="H17" s="24" t="str">
        <f t="shared" si="2"/>
        <v/>
      </c>
      <c r="I17" s="24"/>
      <c r="J17" s="24" t="str" cm="1">
        <f t="array" ref="J17">IF(
 COUNTA(C17:G17)=0,
 "",
 SUM(
  _xlfn.XLOOKUP(
   TRIM(
    _xlfn.TEXTSPLIT(
     SUBSTITUTE(C17&amp;","&amp;D17&amp;","&amp;E17&amp;","&amp;F17&amp;","&amp;G17,CHAR(10),""),
     ","
    )
   ),
   Food_Master[Code],
   Food_Master[Calories],
   0
  )
 )
)</f>
        <v/>
      </c>
      <c r="K17" s="24"/>
      <c r="L17" s="1" t="str">
        <f t="shared" si="3"/>
        <v>Week3</v>
      </c>
      <c r="N17"/>
    </row>
    <row r="18" spans="1:16" x14ac:dyDescent="0.25">
      <c r="A18" s="62">
        <f t="shared" si="4"/>
        <v>46097</v>
      </c>
      <c r="B18" s="24">
        <f t="shared" si="1"/>
        <v>1</v>
      </c>
      <c r="C18" s="24"/>
      <c r="D18" s="24"/>
      <c r="E18" s="24"/>
      <c r="F18" s="24"/>
      <c r="G18" s="24"/>
      <c r="H18" s="24" t="str">
        <f t="shared" si="2"/>
        <v/>
      </c>
      <c r="I18" s="24"/>
      <c r="J18" s="24" t="str" cm="1">
        <f t="array" ref="J18">IF(
 COUNTA(C18:G18)=0,
 "",
 SUM(
  _xlfn.XLOOKUP(
   TRIM(
    _xlfn.TEXTSPLIT(
     SUBSTITUTE(C18&amp;","&amp;D18&amp;","&amp;E18&amp;","&amp;F18&amp;","&amp;G18,CHAR(10),""),
     ","
    )
   ),
   Food_Master[Code],
   Food_Master[Calories],
   0
  )
 )
)</f>
        <v/>
      </c>
      <c r="K18" s="24"/>
      <c r="L18" s="1" t="str">
        <f t="shared" si="3"/>
        <v>Week3</v>
      </c>
      <c r="N18"/>
    </row>
    <row r="19" spans="1:16" x14ac:dyDescent="0.25">
      <c r="A19" s="62">
        <f t="shared" si="4"/>
        <v>46098</v>
      </c>
      <c r="B19" s="24">
        <f t="shared" si="1"/>
        <v>2</v>
      </c>
      <c r="C19" s="24"/>
      <c r="D19" s="24"/>
      <c r="E19" s="24"/>
      <c r="F19" s="24"/>
      <c r="G19" s="24"/>
      <c r="H19" s="24" t="str">
        <f t="shared" si="2"/>
        <v/>
      </c>
      <c r="I19" s="24"/>
      <c r="J19" s="24" t="str" cm="1">
        <f t="array" ref="J19">IF(
 COUNTA(C19:G19)=0,
 "",
 SUM(
  _xlfn.XLOOKUP(
   TRIM(
    _xlfn.TEXTSPLIT(
     SUBSTITUTE(C19&amp;","&amp;D19&amp;","&amp;E19&amp;","&amp;F19&amp;","&amp;G19,CHAR(10),""),
     ","
    )
   ),
   Food_Master[Code],
   Food_Master[Calories],
   0
  )
 )
)</f>
        <v/>
      </c>
      <c r="K19" s="24"/>
      <c r="L19" s="1" t="str">
        <f t="shared" si="3"/>
        <v>Week3</v>
      </c>
      <c r="N19"/>
    </row>
    <row r="20" spans="1:16" ht="21" x14ac:dyDescent="0.25">
      <c r="A20" s="62">
        <f t="shared" si="4"/>
        <v>46099</v>
      </c>
      <c r="B20" s="24">
        <f t="shared" si="1"/>
        <v>3</v>
      </c>
      <c r="C20" s="64"/>
      <c r="D20" s="64"/>
      <c r="E20" s="64"/>
      <c r="F20" s="64"/>
      <c r="G20" s="64"/>
      <c r="H20" s="24" t="str">
        <f t="shared" si="2"/>
        <v/>
      </c>
      <c r="I20" s="24"/>
      <c r="J20" s="24" t="str" cm="1">
        <f t="array" ref="J20">IF(
 COUNTA(C20:G20)=0,
 "",
 SUM(
  _xlfn.XLOOKUP(
   TRIM(
    _xlfn.TEXTSPLIT(
     SUBSTITUTE(C20&amp;","&amp;D20&amp;","&amp;E20&amp;","&amp;F20&amp;","&amp;G20,CHAR(10),""),
     ","
    )
   ),
   Food_Master[Code],
   Food_Master[Calories],
   0
  )
 )
)</f>
        <v/>
      </c>
      <c r="K20" s="24"/>
      <c r="L20" s="1" t="str">
        <f t="shared" si="3"/>
        <v>Week3</v>
      </c>
      <c r="N20"/>
    </row>
    <row r="21" spans="1:16" x14ac:dyDescent="0.25">
      <c r="A21" s="62">
        <f t="shared" si="4"/>
        <v>46100</v>
      </c>
      <c r="B21" s="24">
        <f t="shared" si="1"/>
        <v>4</v>
      </c>
      <c r="C21" s="24"/>
      <c r="D21" s="24"/>
      <c r="E21" s="24"/>
      <c r="F21" s="24"/>
      <c r="G21" s="24"/>
      <c r="H21" s="24" t="str">
        <f t="shared" si="2"/>
        <v/>
      </c>
      <c r="I21" s="24"/>
      <c r="J21" s="24" t="str" cm="1">
        <f t="array" ref="J21">IF(
 COUNTA(C21:G21)=0,
 "",
 SUM(
  _xlfn.XLOOKUP(
   TRIM(
    _xlfn.TEXTSPLIT(
     SUBSTITUTE(C21&amp;","&amp;D21&amp;","&amp;E21&amp;","&amp;F21&amp;","&amp;G21,CHAR(10),""),
     ","
    )
   ),
   Food_Master[Code],
   Food_Master[Calories],
   0
  )
 )
)</f>
        <v/>
      </c>
      <c r="K21" s="24"/>
      <c r="L21" s="1" t="str">
        <f t="shared" si="3"/>
        <v>Week3</v>
      </c>
      <c r="N21"/>
    </row>
    <row r="22" spans="1:16" x14ac:dyDescent="0.25">
      <c r="A22" s="62">
        <f t="shared" si="4"/>
        <v>46101</v>
      </c>
      <c r="B22" s="24">
        <f t="shared" si="1"/>
        <v>5</v>
      </c>
      <c r="C22" s="24"/>
      <c r="D22" s="24"/>
      <c r="E22" s="24"/>
      <c r="F22" s="24"/>
      <c r="G22" s="24"/>
      <c r="H22" s="24" t="str">
        <f t="shared" si="2"/>
        <v/>
      </c>
      <c r="I22" s="24"/>
      <c r="J22" s="24" t="str" cm="1">
        <f t="array" ref="J22">IF(
 COUNTA(C22:G22)=0,
 "",
 SUM(
  _xlfn.XLOOKUP(
   TRIM(
    _xlfn.TEXTSPLIT(
     SUBSTITUTE(C22&amp;","&amp;D22&amp;","&amp;E22&amp;","&amp;F22&amp;","&amp;G22,CHAR(10),""),
     ","
    )
   ),
   Food_Master[Code],
   Food_Master[Calories],
   0
  )
 )
)</f>
        <v/>
      </c>
      <c r="K22" s="24"/>
      <c r="L22" s="1" t="str">
        <f t="shared" si="3"/>
        <v>Week3</v>
      </c>
      <c r="N22"/>
    </row>
    <row r="23" spans="1:16" x14ac:dyDescent="0.25">
      <c r="A23" s="62">
        <f t="shared" si="4"/>
        <v>46102</v>
      </c>
      <c r="B23" s="24">
        <f t="shared" si="1"/>
        <v>6</v>
      </c>
      <c r="C23" s="24"/>
      <c r="D23" s="24"/>
      <c r="E23" s="24"/>
      <c r="F23" s="24"/>
      <c r="G23" s="24"/>
      <c r="H23" s="24" t="str">
        <f t="shared" si="2"/>
        <v/>
      </c>
      <c r="I23" s="24"/>
      <c r="J23" s="24" t="str" cm="1">
        <f t="array" ref="J23">IF(
 COUNTA(C23:G23)=0,
 "",
 SUM(
  _xlfn.XLOOKUP(
   TRIM(
    _xlfn.TEXTSPLIT(
     SUBSTITUTE(C23&amp;","&amp;D23&amp;","&amp;E23&amp;","&amp;F23&amp;","&amp;G23,CHAR(10),""),
     ","
    )
   ),
   Food_Master[Code],
   Food_Master[Calories],
   0
  )
 )
)</f>
        <v/>
      </c>
      <c r="K23" s="63"/>
      <c r="L23" s="1" t="str">
        <f t="shared" si="3"/>
        <v>Week3</v>
      </c>
      <c r="N23"/>
    </row>
    <row r="24" spans="1:16" x14ac:dyDescent="0.25">
      <c r="A24" s="62">
        <f t="shared" si="4"/>
        <v>46103</v>
      </c>
      <c r="B24" s="24">
        <f t="shared" si="1"/>
        <v>7</v>
      </c>
      <c r="C24" s="24"/>
      <c r="D24" s="24"/>
      <c r="E24" s="24"/>
      <c r="F24" s="24"/>
      <c r="G24" s="24"/>
      <c r="H24" s="24" t="str">
        <f t="shared" si="2"/>
        <v/>
      </c>
      <c r="I24" s="24"/>
      <c r="J24" s="24" t="str" cm="1">
        <f t="array" ref="J24">IF(
 COUNTA(C24:G24)=0,
 "",
 SUM(
  _xlfn.XLOOKUP(
   TRIM(
    _xlfn.TEXTSPLIT(
     SUBSTITUTE(C24&amp;","&amp;D24&amp;","&amp;E24&amp;","&amp;F24&amp;","&amp;G24,CHAR(10),""),
     ","
    )
   ),
   Food_Master[Code],
   Food_Master[Calories],
   0
  )
 )
)</f>
        <v/>
      </c>
      <c r="K24" s="24"/>
      <c r="L24" s="1" t="str">
        <f t="shared" si="3"/>
        <v>Week4</v>
      </c>
      <c r="N24"/>
    </row>
    <row r="25" spans="1:16" x14ac:dyDescent="0.25">
      <c r="A25" s="62">
        <f t="shared" si="4"/>
        <v>46104</v>
      </c>
      <c r="B25" s="24">
        <f t="shared" si="1"/>
        <v>1</v>
      </c>
      <c r="C25" s="24"/>
      <c r="D25" s="24"/>
      <c r="E25" s="24"/>
      <c r="F25" s="24"/>
      <c r="G25" s="24"/>
      <c r="H25" s="24" t="str">
        <f t="shared" si="2"/>
        <v/>
      </c>
      <c r="I25" s="24"/>
      <c r="J25" s="24" t="str" cm="1">
        <f t="array" ref="J25">IF(
 COUNTA(C25:G25)=0,
 "",
 SUM(
  _xlfn.XLOOKUP(
   TRIM(
    _xlfn.TEXTSPLIT(
     SUBSTITUTE(C25&amp;","&amp;D25&amp;","&amp;E25&amp;","&amp;F25&amp;","&amp;G25,CHAR(10),""),
     ","
    )
   ),
   Food_Master[Code],
   Food_Master[Calories],
   0
  )
 )
)</f>
        <v/>
      </c>
      <c r="K25" s="24"/>
      <c r="L25" s="1" t="str">
        <f t="shared" si="3"/>
        <v>Week4</v>
      </c>
      <c r="N25"/>
    </row>
    <row r="26" spans="1:16" x14ac:dyDescent="0.25">
      <c r="A26" s="62">
        <f t="shared" si="4"/>
        <v>46105</v>
      </c>
      <c r="B26" s="24">
        <f t="shared" si="1"/>
        <v>2</v>
      </c>
      <c r="C26" s="24"/>
      <c r="D26" s="24"/>
      <c r="E26" s="24"/>
      <c r="F26" s="24"/>
      <c r="G26" s="24"/>
      <c r="H26" s="24" t="str">
        <f t="shared" si="2"/>
        <v/>
      </c>
      <c r="I26" s="24"/>
      <c r="J26" s="24" t="str" cm="1">
        <f t="array" ref="J26">IF(
 COUNTA(C26:G26)=0,
 "",
 SUM(
  _xlfn.XLOOKUP(
   TRIM(
    _xlfn.TEXTSPLIT(
     SUBSTITUTE(C26&amp;","&amp;D26&amp;","&amp;E26&amp;","&amp;F26&amp;","&amp;G26,CHAR(10),""),
     ","
    )
   ),
   Food_Master[Code],
   Food_Master[Calories],
   0
  )
 )
)</f>
        <v/>
      </c>
      <c r="K26" s="24"/>
      <c r="L26" s="1" t="str">
        <f t="shared" si="3"/>
        <v>Week4</v>
      </c>
      <c r="N26" s="1"/>
      <c r="O26" s="1"/>
    </row>
    <row r="27" spans="1:16" x14ac:dyDescent="0.25">
      <c r="A27" s="62">
        <f t="shared" si="4"/>
        <v>46106</v>
      </c>
      <c r="B27" s="24">
        <f t="shared" si="1"/>
        <v>3</v>
      </c>
      <c r="C27" s="24"/>
      <c r="D27" s="24"/>
      <c r="E27" s="24"/>
      <c r="F27" s="24"/>
      <c r="G27" s="24"/>
      <c r="H27" s="24" t="str">
        <f t="shared" si="2"/>
        <v/>
      </c>
      <c r="I27" s="24"/>
      <c r="J27" s="24" t="str" cm="1">
        <f t="array" ref="J27">IF(
 COUNTA(C27:G27)=0,
 "",
 SUM(
  _xlfn.XLOOKUP(
   TRIM(
    _xlfn.TEXTSPLIT(
     SUBSTITUTE(C27&amp;","&amp;D27&amp;","&amp;E27&amp;","&amp;F27&amp;","&amp;G27,CHAR(10),""),
     ","
    )
   ),
   Food_Master[Code],
   Food_Master[Calories],
   0
  )
 )
)</f>
        <v/>
      </c>
      <c r="K27" s="24"/>
      <c r="L27" s="1" t="str">
        <f t="shared" si="3"/>
        <v>Week4</v>
      </c>
      <c r="O27" s="1"/>
      <c r="P27" s="1"/>
    </row>
    <row r="28" spans="1:16" x14ac:dyDescent="0.25">
      <c r="A28" s="62">
        <f t="shared" si="4"/>
        <v>46107</v>
      </c>
      <c r="B28" s="24">
        <f t="shared" si="1"/>
        <v>4</v>
      </c>
      <c r="C28" s="24"/>
      <c r="D28" s="24"/>
      <c r="E28" s="24"/>
      <c r="F28" s="24"/>
      <c r="G28" s="24"/>
      <c r="H28" s="24" t="str">
        <f t="shared" si="2"/>
        <v/>
      </c>
      <c r="I28" s="24"/>
      <c r="J28" s="24" t="str" cm="1">
        <f t="array" ref="J28">IF(
 COUNTA(C28:G28)=0,
 "",
 SUM(
  _xlfn.XLOOKUP(
   TRIM(
    _xlfn.TEXTSPLIT(
     SUBSTITUTE(C28&amp;","&amp;D28&amp;","&amp;E28&amp;","&amp;F28&amp;","&amp;G28,CHAR(10),""),
     ","
    )
   ),
   Food_Master[Code],
   Food_Master[Calories],
   0
  )
 )
)</f>
        <v/>
      </c>
      <c r="K28" s="24"/>
      <c r="L28" s="1" t="str">
        <f t="shared" si="3"/>
        <v>Week4</v>
      </c>
      <c r="O28" s="1"/>
      <c r="P28" s="1"/>
    </row>
    <row r="29" spans="1:16" x14ac:dyDescent="0.25">
      <c r="A29" s="62">
        <f t="shared" si="4"/>
        <v>46108</v>
      </c>
      <c r="B29" s="24">
        <f t="shared" si="1"/>
        <v>5</v>
      </c>
      <c r="C29" s="24"/>
      <c r="D29" s="24"/>
      <c r="E29" s="24"/>
      <c r="F29" s="24"/>
      <c r="G29" s="24"/>
      <c r="H29" s="24" t="str">
        <f t="shared" si="2"/>
        <v/>
      </c>
      <c r="I29" s="24"/>
      <c r="J29" s="24" t="str" cm="1">
        <f t="array" ref="J29">IF(
 COUNTA(C29:G29)=0,
 "",
 SUM(
  _xlfn.XLOOKUP(
   TRIM(
    _xlfn.TEXTSPLIT(
     SUBSTITUTE(C29&amp;","&amp;D29&amp;","&amp;E29&amp;","&amp;F29&amp;","&amp;G29,CHAR(10),""),
     ","
    )
   ),
   Food_Master[Code],
   Food_Master[Calories],
   0
  )
 )
)</f>
        <v/>
      </c>
      <c r="K29" s="24"/>
      <c r="L29" s="1" t="str">
        <f t="shared" si="3"/>
        <v>Week4</v>
      </c>
      <c r="O29" s="1"/>
      <c r="P29" s="1"/>
    </row>
    <row r="30" spans="1:16" x14ac:dyDescent="0.25">
      <c r="A30" s="62">
        <f t="shared" si="4"/>
        <v>46109</v>
      </c>
      <c r="B30" s="24">
        <f t="shared" si="1"/>
        <v>6</v>
      </c>
      <c r="C30" s="24"/>
      <c r="D30" s="24"/>
      <c r="E30" s="24"/>
      <c r="F30" s="24"/>
      <c r="G30" s="24"/>
      <c r="H30" s="24" t="str">
        <f t="shared" ref="H30:H33" si="5">IF(J30="","",IF(J30&lt;=1500,"OK","Too High"))</f>
        <v/>
      </c>
      <c r="I30" s="24"/>
      <c r="J30" s="24" t="str" cm="1">
        <f t="array" ref="J30">IF(
 COUNTA(C30:G30)=0,
 "",
 SUM(
  _xlfn.XLOOKUP(
   TRIM(
    _xlfn.TEXTSPLIT(
     SUBSTITUTE(C30&amp;","&amp;D30&amp;","&amp;E30&amp;","&amp;F30&amp;","&amp;G30,CHAR(10),""),
     ","
    )
   ),
   Food_Master[Code],
   Food_Master[Calories],
   0
  )
 )
)</f>
        <v/>
      </c>
      <c r="K30" s="24"/>
      <c r="L30" s="1" t="str">
        <f t="shared" si="3"/>
        <v>Week4</v>
      </c>
    </row>
    <row r="31" spans="1:16" x14ac:dyDescent="0.25">
      <c r="A31" s="62">
        <f t="shared" si="4"/>
        <v>46110</v>
      </c>
      <c r="B31" s="24">
        <f t="shared" si="1"/>
        <v>7</v>
      </c>
      <c r="C31" s="24"/>
      <c r="D31" s="24"/>
      <c r="E31" s="24"/>
      <c r="F31" s="24"/>
      <c r="G31" s="24"/>
      <c r="H31" s="24" t="str">
        <f t="shared" si="5"/>
        <v/>
      </c>
      <c r="I31" s="24"/>
      <c r="J31" s="24" t="str" cm="1">
        <f t="array" ref="J31">IF(
 COUNTA(C31:G31)=0,
 "",
 SUM(
  _xlfn.XLOOKUP(
   TRIM(
    _xlfn.TEXTSPLIT(
     SUBSTITUTE(C31&amp;","&amp;D31&amp;","&amp;E31&amp;","&amp;F31&amp;","&amp;G31,CHAR(10),""),
     ","
    )
   ),
   Food_Master[Code],
   Food_Master[Calories],
   0
  )
 )
)</f>
        <v/>
      </c>
      <c r="K31" s="24"/>
      <c r="L31" s="1" t="str">
        <f t="shared" si="3"/>
        <v>Week5</v>
      </c>
    </row>
    <row r="32" spans="1:16" x14ac:dyDescent="0.25">
      <c r="A32" s="62">
        <f t="shared" si="4"/>
        <v>46111</v>
      </c>
      <c r="B32" s="24">
        <f t="shared" si="1"/>
        <v>1</v>
      </c>
      <c r="C32" s="24"/>
      <c r="D32" s="24"/>
      <c r="E32" s="24"/>
      <c r="F32" s="24"/>
      <c r="G32" s="24"/>
      <c r="H32" s="24" t="str">
        <f t="shared" si="5"/>
        <v/>
      </c>
      <c r="I32" s="24"/>
      <c r="J32" s="24" t="str" cm="1">
        <f t="array" ref="J32">IF(
 COUNTA(C32:G32)=0,
 "",
 SUM(
  _xlfn.XLOOKUP(
   TRIM(
    _xlfn.TEXTSPLIT(
     SUBSTITUTE(C32&amp;","&amp;D32&amp;","&amp;E32&amp;","&amp;F32&amp;","&amp;G32,CHAR(10),""),
     ","
    )
   ),
   Food_Master[Code],
   Food_Master[Calories],
   0
  )
 )
)</f>
        <v/>
      </c>
      <c r="K32" s="24"/>
      <c r="L32" s="1" t="str">
        <f t="shared" si="3"/>
        <v>Week5</v>
      </c>
    </row>
    <row r="33" spans="1:12" x14ac:dyDescent="0.25">
      <c r="A33" s="62">
        <f t="shared" si="4"/>
        <v>46112</v>
      </c>
      <c r="B33" s="24">
        <f t="shared" si="1"/>
        <v>2</v>
      </c>
      <c r="C33" s="24"/>
      <c r="D33" s="24"/>
      <c r="E33" s="24"/>
      <c r="F33" s="24"/>
      <c r="G33" s="24"/>
      <c r="H33" s="24" t="str">
        <f t="shared" si="5"/>
        <v/>
      </c>
      <c r="I33" s="24"/>
      <c r="J33" s="24" t="str" cm="1">
        <f t="array" ref="J33">IF(
 COUNTA(C33:G33)=0,
 "",
 SUM(
  _xlfn.XLOOKUP(
   TRIM(
    _xlfn.TEXTSPLIT(
     SUBSTITUTE(C33&amp;","&amp;D33&amp;","&amp;E33&amp;","&amp;F33&amp;","&amp;G33,CHAR(10),""),
     ","
    )
   ),
   Food_Master[Code],
   Food_Master[Calories],
   0
  )
 )
)</f>
        <v/>
      </c>
      <c r="K33" s="24"/>
      <c r="L33" s="1" t="str">
        <f t="shared" si="3"/>
        <v>Week5</v>
      </c>
    </row>
  </sheetData>
  <dataConsolidate/>
  <conditionalFormatting sqref="C3:G33">
    <cfRule type="expression" dxfId="1" priority="2">
      <formula>C3=""</formula>
    </cfRule>
  </conditionalFormatting>
  <conditionalFormatting sqref="J3:J33">
    <cfRule type="colorScale" priority="4">
      <colorScale>
        <cfvo type="num" val="1500"/>
        <cfvo type="num" val="1600"/>
        <cfvo type="num" val="1700"/>
        <color theme="9"/>
        <color rgb="FFFFEB84"/>
        <color rgb="FFFF4343"/>
      </colorScale>
    </cfRule>
  </conditionalFormatting>
  <conditionalFormatting sqref="P3:P6">
    <cfRule type="colorScale" priority="3">
      <colorScale>
        <cfvo type="num" val="1500"/>
        <cfvo type="num" val="1600"/>
        <cfvo type="num" val="1700"/>
        <color theme="9"/>
        <color rgb="FFFFEB84"/>
        <color rgb="FFFF0000"/>
      </colorScale>
    </cfRule>
  </conditionalFormatting>
  <conditionalFormatting sqref="V3:V6">
    <cfRule type="colorScale" priority="1">
      <colorScale>
        <cfvo type="num" val="0"/>
        <cfvo type="percentile" val="50"/>
        <cfvo type="num" val="1"/>
        <color rgb="FFFF4343"/>
        <color rgb="FFFFEB84"/>
        <color rgb="FF63BE7B"/>
      </colorScale>
    </cfRule>
  </conditionalFormatting>
  <dataValidations count="3">
    <dataValidation type="list" allowBlank="1" showInputMessage="1" showErrorMessage="1" sqref="H2 I2:I33" xr:uid="{423015B1-B7DC-4DCC-9197-4004F6EDB393}">
      <formula1>"Yes,No"</formula1>
    </dataValidation>
    <dataValidation type="custom" allowBlank="1" showInputMessage="1" showErrorMessage="1" sqref="K16 K23" xr:uid="{0F81BB73-15C1-431C-A345-823B40A659D0}">
      <formula1>AVERAGEIF(J10:J16,"&gt;0")</formula1>
    </dataValidation>
    <dataValidation type="custom" allowBlank="1" showInputMessage="1" showErrorMessage="1" sqref="P3:P6" xr:uid="{D5209F46-9A00-4B2B-8FCE-B3D48EB53165}">
      <formula1>AVERAGEIF(J3:J9,"&gt;0")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F2B63-1B50-4428-B1DC-67909501395D}">
  <dimension ref="A1:V33"/>
  <sheetViews>
    <sheetView workbookViewId="0">
      <pane ySplit="2" topLeftCell="A3" activePane="bottomLeft" state="frozen"/>
      <selection pane="bottomLeft" activeCell="I10" sqref="I10"/>
    </sheetView>
  </sheetViews>
  <sheetFormatPr defaultRowHeight="15" x14ac:dyDescent="0.25"/>
  <cols>
    <col min="1" max="1" width="12.28515625" style="26" bestFit="1" customWidth="1"/>
    <col min="2" max="2" width="11.42578125" bestFit="1" customWidth="1"/>
    <col min="3" max="3" width="16.28515625" style="26" bestFit="1" customWidth="1"/>
    <col min="4" max="4" width="16.140625" style="26" bestFit="1" customWidth="1"/>
    <col min="5" max="5" width="11.140625" style="26" customWidth="1"/>
    <col min="6" max="6" width="9.7109375" style="26" bestFit="1" customWidth="1"/>
    <col min="7" max="7" width="12.42578125" style="26" customWidth="1"/>
    <col min="8" max="8" width="19.140625" style="26" bestFit="1" customWidth="1"/>
    <col min="9" max="9" width="13.7109375" style="26" bestFit="1" customWidth="1"/>
    <col min="10" max="10" width="15.5703125" style="26" customWidth="1"/>
    <col min="11" max="11" width="14" bestFit="1" customWidth="1"/>
    <col min="12" max="12" width="9.5703125" hidden="1" customWidth="1"/>
    <col min="13" max="14" width="10.85546875" style="11" customWidth="1"/>
    <col min="15" max="15" width="8.85546875" customWidth="1"/>
    <col min="16" max="16" width="11" customWidth="1"/>
    <col min="17" max="17" width="11.28515625" customWidth="1"/>
    <col min="18" max="18" width="7.42578125" customWidth="1"/>
    <col min="19" max="19" width="11" customWidth="1"/>
    <col min="20" max="20" width="12.140625" customWidth="1"/>
    <col min="21" max="21" width="7.140625" customWidth="1"/>
    <col min="22" max="22" width="11.5703125" customWidth="1"/>
    <col min="23" max="23" width="11.140625" customWidth="1"/>
  </cols>
  <sheetData>
    <row r="1" spans="1:22" s="70" customFormat="1" ht="26.25" customHeight="1" x14ac:dyDescent="0.25">
      <c r="A1" s="85" t="s">
        <v>116</v>
      </c>
      <c r="B1" s="83"/>
      <c r="C1" s="84">
        <v>46113</v>
      </c>
      <c r="D1" s="83"/>
      <c r="E1" s="83"/>
      <c r="F1" s="83"/>
      <c r="G1" s="83"/>
      <c r="H1" s="83"/>
      <c r="I1" s="83"/>
      <c r="J1" s="83"/>
      <c r="K1" s="83"/>
      <c r="L1" s="83"/>
      <c r="N1"/>
    </row>
    <row r="2" spans="1:22" ht="40.5" customHeight="1" x14ac:dyDescent="0.35">
      <c r="A2" s="67" t="s">
        <v>50</v>
      </c>
      <c r="B2" s="68" t="s">
        <v>0</v>
      </c>
      <c r="C2" s="67" t="s">
        <v>32</v>
      </c>
      <c r="D2" s="67" t="s">
        <v>1</v>
      </c>
      <c r="E2" s="67" t="s">
        <v>2</v>
      </c>
      <c r="F2" s="67" t="s">
        <v>3</v>
      </c>
      <c r="G2" s="67" t="s">
        <v>4</v>
      </c>
      <c r="H2" s="67" t="s">
        <v>5</v>
      </c>
      <c r="I2" s="67" t="s">
        <v>6</v>
      </c>
      <c r="J2" s="67" t="s">
        <v>112</v>
      </c>
      <c r="K2" s="67" t="s">
        <v>105</v>
      </c>
      <c r="L2" s="67" t="s">
        <v>115</v>
      </c>
      <c r="N2"/>
      <c r="O2" s="72" t="s">
        <v>49</v>
      </c>
      <c r="P2" s="72"/>
      <c r="R2" s="82" t="s">
        <v>107</v>
      </c>
      <c r="S2" s="73"/>
      <c r="U2" s="81" t="s">
        <v>106</v>
      </c>
      <c r="V2" s="71"/>
    </row>
    <row r="3" spans="1:22" x14ac:dyDescent="0.25">
      <c r="A3" s="62">
        <f>IF(ROW()-ROW($A$3)+1&gt;DAY(EOMONTH($C$1,0)),"",$C$1+ROW()-ROW($A$3))</f>
        <v>46113</v>
      </c>
      <c r="B3" s="24">
        <f>IFERROR(WEEKDAY(A3,2),"")</f>
        <v>3</v>
      </c>
      <c r="C3" s="24"/>
      <c r="D3" s="24"/>
      <c r="E3" s="24"/>
      <c r="F3" s="24"/>
      <c r="G3" s="24"/>
      <c r="H3" s="24" t="str">
        <f>IF(J3="","",IF(J3&lt;=1500,"OK","Too High"))</f>
        <v/>
      </c>
      <c r="I3" s="24"/>
      <c r="J3" s="24" t="str" cm="1">
        <f t="array" ref="J3">IF(
 COUNTA(C3:G3)=0,
 "",
 SUM(
  _xlfn.XLOOKUP(
   TRIM(
    _xlfn.TEXTSPLIT(
     SUBSTITUTE(C3&amp;","&amp;D3&amp;","&amp;E3&amp;","&amp;F3&amp;","&amp;G3,CHAR(10),""),
     ","
    )
   ),
   Food_Master[Code],
   Food_Master[Calories],
   0
  )
 )
)</f>
        <v/>
      </c>
      <c r="K3" s="24"/>
      <c r="L3" s="1" t="str">
        <f>IFERROR("Week"&amp;INT((DAY(A3)-1)/7)+1, "")</f>
        <v>Week1</v>
      </c>
      <c r="N3"/>
      <c r="O3" s="76" t="str" cm="1">
        <f t="array" ref="O3:O6">_xlfn.UNIQUE(L3:L29)</f>
        <v>Week1</v>
      </c>
      <c r="P3" s="66" t="str">
        <f>IF(COUNTIF(J9:J15,"&gt;0")=0,"",AVERAGEIF(J9:J15,"&gt;0"))</f>
        <v/>
      </c>
      <c r="Q3" s="1"/>
      <c r="R3" s="76" t="str" cm="1">
        <f t="array" ref="R3:R6">_xlfn.UNIQUE(L3:L29)</f>
        <v>Week1</v>
      </c>
      <c r="S3" s="77" t="str">
        <f>IFERROR(AVERAGE(K3:K9),"")</f>
        <v/>
      </c>
      <c r="T3" s="1"/>
      <c r="U3" s="76" t="str" cm="1">
        <f t="array" ref="U3:U6">_xlfn.UNIQUE(L3:L29)</f>
        <v>Week1</v>
      </c>
      <c r="V3" s="78">
        <f>IF(COUNTA(J3:J9)=0,0,COUNTIFS(J3:J9,"&gt;0",K3:K9,"&gt;0")/7)</f>
        <v>0</v>
      </c>
    </row>
    <row r="4" spans="1:22" x14ac:dyDescent="0.25">
      <c r="A4" s="62">
        <f t="shared" ref="A4:A5" si="0">IF(ROW()-ROW($A$3)+1&gt;DAY(EOMONTH($C$1,0)),"",$C$1+ROW()-ROW($A$3))</f>
        <v>46114</v>
      </c>
      <c r="B4" s="24">
        <f t="shared" ref="B4:B32" si="1">IFERROR(WEEKDAY(A4,2), "")</f>
        <v>4</v>
      </c>
      <c r="C4" s="24"/>
      <c r="D4" s="24"/>
      <c r="E4" s="24"/>
      <c r="F4" s="24"/>
      <c r="G4" s="24"/>
      <c r="H4" s="24" t="str">
        <f t="shared" ref="H4:H33" si="2">IF(J4="","",IF(J4&lt;=1500,"OK","Too High"))</f>
        <v/>
      </c>
      <c r="I4" s="24"/>
      <c r="J4" s="24" t="str" cm="1">
        <f t="array" ref="J4">IF(
 COUNTA(C4:G4)=0,
 "",
 SUM(
  _xlfn.XLOOKUP(
   TRIM(
    _xlfn.TEXTSPLIT(
     SUBSTITUTE(C4&amp;","&amp;D4&amp;","&amp;E4&amp;","&amp;F4&amp;","&amp;G4,CHAR(10),""),
     ","
    )
   ),
   Food_Master[Code],
   Food_Master[Calories],
   0
  )
 )
)</f>
        <v/>
      </c>
      <c r="K4" s="24"/>
      <c r="L4" s="1" t="str">
        <f t="shared" ref="L4:L32" si="3">IFERROR("Week"&amp;INT((DAY(A4)-1)/7)+1, "")</f>
        <v>Week1</v>
      </c>
      <c r="N4"/>
      <c r="O4" s="76" t="str">
        <v>Week2</v>
      </c>
      <c r="P4" s="66" t="str">
        <f>IF(COUNTIF(J10:J16,"&gt;0")=0,"",AVERAGEIF(J10:J16,"&gt;0"))</f>
        <v/>
      </c>
      <c r="Q4" s="1"/>
      <c r="R4" s="76" t="str">
        <v>Week2</v>
      </c>
      <c r="S4" s="79" t="str">
        <f>IFERROR(AVERAGE(K10:K16),"")</f>
        <v/>
      </c>
      <c r="T4" s="1"/>
      <c r="U4" s="76" t="str">
        <v>Week2</v>
      </c>
      <c r="V4" s="78">
        <f>IF(COUNTA(J10:J16)=0,0,COUNTIFS(J10:J16,"&gt;0",K10:K16,"&gt;0")/7)</f>
        <v>0</v>
      </c>
    </row>
    <row r="5" spans="1:22" x14ac:dyDescent="0.25">
      <c r="A5" s="62">
        <f t="shared" si="0"/>
        <v>46115</v>
      </c>
      <c r="B5" s="24">
        <f>IFERROR(WEEKDAY(A5,2), "")</f>
        <v>5</v>
      </c>
      <c r="C5" s="24"/>
      <c r="D5" s="24"/>
      <c r="E5" s="24"/>
      <c r="F5" s="24"/>
      <c r="G5" s="24"/>
      <c r="H5" s="24" t="str">
        <f t="shared" si="2"/>
        <v/>
      </c>
      <c r="I5" s="24"/>
      <c r="J5" s="24" t="str" cm="1">
        <f t="array" ref="J5">IF(
 COUNTA(C5:G5)=0,
 "",
 SUM(
  _xlfn.XLOOKUP(
   TRIM(
    _xlfn.TEXTSPLIT(
     SUBSTITUTE(C5&amp;","&amp;D5&amp;","&amp;E5&amp;","&amp;F5&amp;","&amp;G5,CHAR(10),""),
     ","
    )
   ),
   Food_Master[Code],
   Food_Master[Calories],
   0
  )
 )
)</f>
        <v/>
      </c>
      <c r="K5" s="24"/>
      <c r="L5" s="1" t="str">
        <f t="shared" si="3"/>
        <v>Week1</v>
      </c>
      <c r="N5"/>
      <c r="O5" s="76" t="str">
        <v>Week3</v>
      </c>
      <c r="P5" s="66" t="str">
        <f>IF(COUNTIF(J17:J23,"&gt;0")=0,"",AVERAGEIF(J17:J23,"&gt;0"))</f>
        <v/>
      </c>
      <c r="Q5" s="1"/>
      <c r="R5" s="76" t="str">
        <v>Week3</v>
      </c>
      <c r="S5" s="79" t="str">
        <f>IFERROR(AVERAGE(K17:K23),"")</f>
        <v/>
      </c>
      <c r="T5" s="1"/>
      <c r="U5" s="76" t="str">
        <v>Week3</v>
      </c>
      <c r="V5" s="78">
        <f>IF(COUNTA(J17:J23)=0,0,COUNTIFS(J17:J23,"&gt;0",K17:K23,"&gt;0")/7)</f>
        <v>0</v>
      </c>
    </row>
    <row r="6" spans="1:22" x14ac:dyDescent="0.25">
      <c r="A6" s="62">
        <f>IF(ROW()-ROW($A$3)+1&gt;DAY(EOMONTH($C$1,0)),"",$C$1+ROW()-ROW($A$3))</f>
        <v>46116</v>
      </c>
      <c r="B6" s="24">
        <f>IFERROR(WEEKDAY(A6,2), "")</f>
        <v>6</v>
      </c>
      <c r="C6" s="24"/>
      <c r="D6" s="24"/>
      <c r="E6" s="24"/>
      <c r="F6" s="24"/>
      <c r="G6" s="24"/>
      <c r="H6" s="24" t="str">
        <f t="shared" si="2"/>
        <v/>
      </c>
      <c r="I6" s="24"/>
      <c r="J6" s="24" t="str" cm="1">
        <f t="array" ref="J6">IF(
 COUNTA(C6:G6)=0,
 "",
 SUM(
  _xlfn.XLOOKUP(
   TRIM(
    _xlfn.TEXTSPLIT(
     SUBSTITUTE(C6&amp;","&amp;D6&amp;","&amp;E6&amp;","&amp;F6&amp;","&amp;G6,CHAR(10),""),
     ","
    )
   ),
   Food_Master[Code],
   Food_Master[Calories],
   0
  )
 )
)</f>
        <v/>
      </c>
      <c r="K6" s="24"/>
      <c r="L6" s="1" t="str">
        <f t="shared" si="3"/>
        <v>Week1</v>
      </c>
      <c r="N6"/>
      <c r="O6" s="76" t="str">
        <v>Week4</v>
      </c>
      <c r="P6" s="66" t="str">
        <f>IF(COUNTIF(J24:J29,"&gt;0")=0,"",AVERAGEIF(J24:J29,"&gt;0"))</f>
        <v/>
      </c>
      <c r="Q6" s="1"/>
      <c r="R6" s="76" t="str">
        <v>Week4</v>
      </c>
      <c r="S6" s="79" t="str">
        <f>IFERROR(AVERAGE(K24:K29),"")</f>
        <v/>
      </c>
      <c r="T6" s="1"/>
      <c r="U6" s="76" t="str">
        <v>Week4</v>
      </c>
      <c r="V6" s="78">
        <f>IF(COUNTA(J24:J29)=0,0,COUNTIFS(J24:J29,"&gt;0",K24:K29,"&gt;0")/7)</f>
        <v>0</v>
      </c>
    </row>
    <row r="7" spans="1:22" x14ac:dyDescent="0.25">
      <c r="A7" s="62">
        <f t="shared" ref="A7:A33" si="4">IF(ROW()-ROW($A$3)+1&gt;DAY(EOMONTH($C$1,0)),"",$C$1+ROW()-ROW($A$3))</f>
        <v>46117</v>
      </c>
      <c r="B7" s="24">
        <f t="shared" si="1"/>
        <v>7</v>
      </c>
      <c r="C7" s="24"/>
      <c r="D7" s="24"/>
      <c r="E7" s="24"/>
      <c r="F7" s="24"/>
      <c r="G7" s="24"/>
      <c r="H7" s="24" t="str">
        <f t="shared" si="2"/>
        <v/>
      </c>
      <c r="I7" s="24"/>
      <c r="J7" s="24" t="str" cm="1">
        <f t="array" ref="J7">IF(
 COUNTA(C7:G7)=0,
 "",
 SUM(
  _xlfn.XLOOKUP(
   TRIM(
    _xlfn.TEXTSPLIT(
     SUBSTITUTE(C7&amp;","&amp;D7&amp;","&amp;E7&amp;","&amp;F7&amp;","&amp;G7,CHAR(10),""),
     ","
    )
   ),
   Food_Master[Code],
   Food_Master[Calories],
   0
  )
 )
)</f>
        <v/>
      </c>
      <c r="K7" s="24"/>
      <c r="L7" s="1" t="str">
        <f t="shared" si="3"/>
        <v>Week1</v>
      </c>
      <c r="N7"/>
    </row>
    <row r="8" spans="1:22" x14ac:dyDescent="0.25">
      <c r="A8" s="62">
        <f t="shared" si="4"/>
        <v>46118</v>
      </c>
      <c r="B8" s="24">
        <f t="shared" si="1"/>
        <v>1</v>
      </c>
      <c r="C8" s="24"/>
      <c r="D8" s="24"/>
      <c r="E8" s="24"/>
      <c r="F8" s="24"/>
      <c r="G8" s="24"/>
      <c r="H8" s="24" t="str">
        <f t="shared" si="2"/>
        <v/>
      </c>
      <c r="I8" s="24"/>
      <c r="J8" s="24" t="str" cm="1">
        <f t="array" ref="J8">IF(
 COUNTA(C8:G8)=0,
 "",
 SUM(
  _xlfn.XLOOKUP(
   TRIM(
    _xlfn.TEXTSPLIT(
     SUBSTITUTE(C8&amp;","&amp;D8&amp;","&amp;E8&amp;","&amp;F8&amp;","&amp;G8,CHAR(10),""),
     ","
    )
   ),
   Food_Master[Code],
   Food_Master[Calories],
   0
  )
 )
)</f>
        <v/>
      </c>
      <c r="K8" s="24"/>
      <c r="L8" s="1" t="str">
        <f t="shared" si="3"/>
        <v>Week1</v>
      </c>
      <c r="N8"/>
    </row>
    <row r="9" spans="1:22" x14ac:dyDescent="0.25">
      <c r="A9" s="62">
        <f t="shared" si="4"/>
        <v>46119</v>
      </c>
      <c r="B9" s="24">
        <f t="shared" si="1"/>
        <v>2</v>
      </c>
      <c r="C9" s="24"/>
      <c r="D9" s="24"/>
      <c r="E9" s="24"/>
      <c r="F9" s="24"/>
      <c r="G9" s="24"/>
      <c r="H9" s="24" t="str">
        <f t="shared" si="2"/>
        <v/>
      </c>
      <c r="I9" s="24"/>
      <c r="J9" s="24" t="str" cm="1">
        <f t="array" ref="J9">IF(
 COUNTA(C9:G9)=0,
 "",
 SUM(
  _xlfn.XLOOKUP(
   TRIM(
    _xlfn.TEXTSPLIT(
     SUBSTITUTE(C9&amp;","&amp;D9&amp;","&amp;E9&amp;","&amp;F9&amp;","&amp;G9,CHAR(10),""),
     ","
    )
   ),
   Food_Master[Code],
   Food_Master[Calories],
   0
  )
 )
)</f>
        <v/>
      </c>
      <c r="K9" s="1"/>
      <c r="L9" s="1" t="str">
        <f t="shared" si="3"/>
        <v>Week1</v>
      </c>
      <c r="N9"/>
    </row>
    <row r="10" spans="1:22" ht="21" x14ac:dyDescent="0.35">
      <c r="A10" s="62">
        <f t="shared" si="4"/>
        <v>46120</v>
      </c>
      <c r="B10" s="24">
        <f t="shared" si="1"/>
        <v>3</v>
      </c>
      <c r="C10" s="24"/>
      <c r="D10" s="24"/>
      <c r="E10" s="24"/>
      <c r="F10" s="24"/>
      <c r="G10" s="24"/>
      <c r="H10" s="24" t="str">
        <f t="shared" si="2"/>
        <v/>
      </c>
      <c r="I10" s="24"/>
      <c r="J10" s="24" t="str" cm="1">
        <f t="array" ref="J10">IF(
 COUNTA(C10:G10)=0,
 "",
 SUM(
  _xlfn.XLOOKUP(
   TRIM(
    _xlfn.TEXTSPLIT(
     SUBSTITUTE(C10&amp;","&amp;D10&amp;","&amp;E10&amp;","&amp;F10&amp;","&amp;G10,CHAR(10),""),
     ","
    )
   ),
   Food_Master[Code],
   Food_Master[Calories],
   0
  )
 )
)</f>
        <v/>
      </c>
      <c r="K10" s="24"/>
      <c r="L10" s="1" t="str">
        <f t="shared" si="3"/>
        <v>Week2</v>
      </c>
      <c r="N10"/>
      <c r="Q10" s="65"/>
    </row>
    <row r="11" spans="1:22" ht="21" x14ac:dyDescent="0.25">
      <c r="A11" s="62">
        <f t="shared" si="4"/>
        <v>46121</v>
      </c>
      <c r="B11" s="24">
        <f t="shared" si="1"/>
        <v>4</v>
      </c>
      <c r="C11" s="64"/>
      <c r="D11" s="64"/>
      <c r="E11" s="64"/>
      <c r="F11" s="64"/>
      <c r="G11" s="64"/>
      <c r="H11" s="24" t="str">
        <f t="shared" si="2"/>
        <v/>
      </c>
      <c r="I11" s="24"/>
      <c r="J11" s="24" t="str" cm="1">
        <f t="array" ref="J11">IF(
 COUNTA(C11:G11)=0,
 "",
 SUM(
  _xlfn.XLOOKUP(
   TRIM(
    _xlfn.TEXTSPLIT(
     SUBSTITUTE(C11&amp;","&amp;D11&amp;","&amp;E11&amp;","&amp;F11&amp;","&amp;G11,CHAR(10),""),
     ","
    )
   ),
   Food_Master[Code],
   Food_Master[Calories],
   0
  )
 )
)</f>
        <v/>
      </c>
      <c r="K11" s="24"/>
      <c r="L11" s="1" t="str">
        <f t="shared" si="3"/>
        <v>Week2</v>
      </c>
      <c r="N11"/>
    </row>
    <row r="12" spans="1:22" x14ac:dyDescent="0.25">
      <c r="A12" s="62">
        <f t="shared" si="4"/>
        <v>46122</v>
      </c>
      <c r="B12" s="24">
        <f t="shared" si="1"/>
        <v>5</v>
      </c>
      <c r="C12" s="24"/>
      <c r="D12" s="24"/>
      <c r="E12" s="24"/>
      <c r="F12" s="24"/>
      <c r="G12" s="24"/>
      <c r="H12" s="24" t="str">
        <f t="shared" si="2"/>
        <v/>
      </c>
      <c r="I12" s="24"/>
      <c r="J12" s="24"/>
      <c r="K12" s="24"/>
      <c r="L12" s="1" t="str">
        <f t="shared" si="3"/>
        <v>Week2</v>
      </c>
      <c r="N12"/>
    </row>
    <row r="13" spans="1:22" x14ac:dyDescent="0.25">
      <c r="A13" s="62">
        <f t="shared" si="4"/>
        <v>46123</v>
      </c>
      <c r="B13" s="24">
        <f t="shared" si="1"/>
        <v>6</v>
      </c>
      <c r="C13" s="24"/>
      <c r="D13" s="24"/>
      <c r="E13" s="24"/>
      <c r="F13" s="24"/>
      <c r="G13" s="24"/>
      <c r="H13" s="24" t="str">
        <f t="shared" si="2"/>
        <v/>
      </c>
      <c r="I13" s="24"/>
      <c r="J13" s="24" t="str" cm="1">
        <f t="array" ref="J13">IF(
 COUNTA(C13:G13)=0,
 "",
 SUM(
  _xlfn.XLOOKUP(
   TRIM(
    _xlfn.TEXTSPLIT(
     SUBSTITUTE(C13&amp;","&amp;D13&amp;","&amp;E13&amp;","&amp;F13&amp;","&amp;G13,CHAR(10),""),
     ","
    )
   ),
   Food_Master[Code],
   Food_Master[Calories],
   0
  )
 )
)</f>
        <v/>
      </c>
      <c r="K13" s="24"/>
      <c r="L13" s="1" t="str">
        <f t="shared" si="3"/>
        <v>Week2</v>
      </c>
      <c r="N13"/>
    </row>
    <row r="14" spans="1:22" x14ac:dyDescent="0.25">
      <c r="A14" s="62">
        <f t="shared" si="4"/>
        <v>46124</v>
      </c>
      <c r="B14" s="24">
        <f t="shared" si="1"/>
        <v>7</v>
      </c>
      <c r="C14" s="24"/>
      <c r="D14" s="24"/>
      <c r="E14" s="24"/>
      <c r="F14" s="24"/>
      <c r="G14" s="24"/>
      <c r="H14" s="24" t="str">
        <f t="shared" si="2"/>
        <v/>
      </c>
      <c r="I14" s="24"/>
      <c r="J14" s="24" t="str" cm="1">
        <f t="array" ref="J14">IF(
 COUNTA(C14:G14)=0,
 "",
 SUM(
  _xlfn.XLOOKUP(
   TRIM(
    _xlfn.TEXTSPLIT(
     SUBSTITUTE(C14&amp;","&amp;D14&amp;","&amp;E14&amp;","&amp;F14&amp;","&amp;G14,CHAR(10),""),
     ","
    )
   ),
   Food_Master[Code],
   Food_Master[Calories],
   0
  )
 )
)</f>
        <v/>
      </c>
      <c r="K14" s="24"/>
      <c r="L14" s="1" t="str">
        <f t="shared" si="3"/>
        <v>Week2</v>
      </c>
      <c r="N14"/>
    </row>
    <row r="15" spans="1:22" x14ac:dyDescent="0.25">
      <c r="A15" s="62">
        <f t="shared" si="4"/>
        <v>46125</v>
      </c>
      <c r="B15" s="24">
        <f t="shared" si="1"/>
        <v>1</v>
      </c>
      <c r="C15" s="24"/>
      <c r="D15" s="24"/>
      <c r="E15" s="24"/>
      <c r="F15" s="24"/>
      <c r="G15" s="24"/>
      <c r="H15" s="24" t="str">
        <f t="shared" si="2"/>
        <v/>
      </c>
      <c r="I15" s="24"/>
      <c r="J15" s="24" t="str" cm="1">
        <f t="array" ref="J15">IF(
 COUNTA(C15:G15)=0,
 "",
 SUM(
  _xlfn.XLOOKUP(
   TRIM(
    _xlfn.TEXTSPLIT(
     SUBSTITUTE(C15&amp;","&amp;D15&amp;","&amp;E15&amp;","&amp;F15&amp;","&amp;G15,CHAR(10),""),
     ","
    )
   ),
   Food_Master[Code],
   Food_Master[Calories],
   0
  )
 )
)</f>
        <v/>
      </c>
      <c r="K15" s="24"/>
      <c r="L15" s="1" t="str">
        <f t="shared" si="3"/>
        <v>Week2</v>
      </c>
      <c r="N15"/>
    </row>
    <row r="16" spans="1:22" x14ac:dyDescent="0.25">
      <c r="A16" s="62">
        <f t="shared" si="4"/>
        <v>46126</v>
      </c>
      <c r="B16" s="24">
        <f t="shared" si="1"/>
        <v>2</v>
      </c>
      <c r="C16" s="24"/>
      <c r="D16" s="24"/>
      <c r="E16" s="24"/>
      <c r="F16" s="24"/>
      <c r="G16" s="24"/>
      <c r="H16" s="24" t="str">
        <f t="shared" si="2"/>
        <v/>
      </c>
      <c r="I16" s="24"/>
      <c r="J16" s="24" t="str" cm="1">
        <f t="array" ref="J16">IF(
 COUNTA(C16:G16)=0,
 "",
 SUM(
  _xlfn.XLOOKUP(
   TRIM(
    _xlfn.TEXTSPLIT(
     SUBSTITUTE(C16&amp;","&amp;D16&amp;","&amp;E16&amp;","&amp;F16&amp;","&amp;G16,CHAR(10),""),
     ","
    )
   ),
   Food_Master[Code],
   Food_Master[Calories],
   0
  )
 )
)</f>
        <v/>
      </c>
      <c r="K16" s="63"/>
      <c r="L16" s="1" t="str">
        <f t="shared" si="3"/>
        <v>Week2</v>
      </c>
      <c r="N16"/>
    </row>
    <row r="17" spans="1:16" x14ac:dyDescent="0.25">
      <c r="A17" s="62">
        <f t="shared" si="4"/>
        <v>46127</v>
      </c>
      <c r="B17" s="24">
        <f t="shared" si="1"/>
        <v>3</v>
      </c>
      <c r="C17" s="24"/>
      <c r="D17" s="24"/>
      <c r="E17" s="24"/>
      <c r="F17" s="24"/>
      <c r="G17" s="24"/>
      <c r="H17" s="24" t="str">
        <f t="shared" si="2"/>
        <v/>
      </c>
      <c r="I17" s="24"/>
      <c r="J17" s="24" t="str" cm="1">
        <f t="array" ref="J17">IF(
 COUNTA(C17:G17)=0,
 "",
 SUM(
  _xlfn.XLOOKUP(
   TRIM(
    _xlfn.TEXTSPLIT(
     SUBSTITUTE(C17&amp;","&amp;D17&amp;","&amp;E17&amp;","&amp;F17&amp;","&amp;G17,CHAR(10),""),
     ","
    )
   ),
   Food_Master[Code],
   Food_Master[Calories],
   0
  )
 )
)</f>
        <v/>
      </c>
      <c r="K17" s="24"/>
      <c r="L17" s="1" t="str">
        <f t="shared" si="3"/>
        <v>Week3</v>
      </c>
      <c r="N17"/>
    </row>
    <row r="18" spans="1:16" x14ac:dyDescent="0.25">
      <c r="A18" s="62">
        <f t="shared" si="4"/>
        <v>46128</v>
      </c>
      <c r="B18" s="24">
        <f t="shared" si="1"/>
        <v>4</v>
      </c>
      <c r="C18" s="24"/>
      <c r="D18" s="24"/>
      <c r="E18" s="24"/>
      <c r="F18" s="24"/>
      <c r="G18" s="24"/>
      <c r="H18" s="24" t="str">
        <f t="shared" si="2"/>
        <v/>
      </c>
      <c r="I18" s="24"/>
      <c r="J18" s="24" t="str" cm="1">
        <f t="array" ref="J18">IF(
 COUNTA(C18:G18)=0,
 "",
 SUM(
  _xlfn.XLOOKUP(
   TRIM(
    _xlfn.TEXTSPLIT(
     SUBSTITUTE(C18&amp;","&amp;D18&amp;","&amp;E18&amp;","&amp;F18&amp;","&amp;G18,CHAR(10),""),
     ","
    )
   ),
   Food_Master[Code],
   Food_Master[Calories],
   0
  )
 )
)</f>
        <v/>
      </c>
      <c r="K18" s="24"/>
      <c r="L18" s="1" t="str">
        <f t="shared" si="3"/>
        <v>Week3</v>
      </c>
      <c r="N18"/>
    </row>
    <row r="19" spans="1:16" x14ac:dyDescent="0.25">
      <c r="A19" s="62">
        <f t="shared" si="4"/>
        <v>46129</v>
      </c>
      <c r="B19" s="24">
        <f t="shared" si="1"/>
        <v>5</v>
      </c>
      <c r="C19" s="24"/>
      <c r="D19" s="24"/>
      <c r="E19" s="24"/>
      <c r="F19" s="24"/>
      <c r="G19" s="24"/>
      <c r="H19" s="24" t="str">
        <f t="shared" si="2"/>
        <v/>
      </c>
      <c r="I19" s="24"/>
      <c r="J19" s="24" t="str" cm="1">
        <f t="array" ref="J19">IF(
 COUNTA(C19:G19)=0,
 "",
 SUM(
  _xlfn.XLOOKUP(
   TRIM(
    _xlfn.TEXTSPLIT(
     SUBSTITUTE(C19&amp;","&amp;D19&amp;","&amp;E19&amp;","&amp;F19&amp;","&amp;G19,CHAR(10),""),
     ","
    )
   ),
   Food_Master[Code],
   Food_Master[Calories],
   0
  )
 )
)</f>
        <v/>
      </c>
      <c r="K19" s="24"/>
      <c r="L19" s="1" t="str">
        <f t="shared" si="3"/>
        <v>Week3</v>
      </c>
      <c r="N19"/>
    </row>
    <row r="20" spans="1:16" ht="21" x14ac:dyDescent="0.25">
      <c r="A20" s="62">
        <f t="shared" si="4"/>
        <v>46130</v>
      </c>
      <c r="B20" s="24">
        <f>IFERROR(WEEKDAY(A20,2), "")</f>
        <v>6</v>
      </c>
      <c r="C20" s="64"/>
      <c r="D20" s="64"/>
      <c r="E20" s="64"/>
      <c r="F20" s="64"/>
      <c r="G20" s="64"/>
      <c r="H20" s="24" t="str">
        <f t="shared" si="2"/>
        <v/>
      </c>
      <c r="I20" s="24"/>
      <c r="J20" s="24" t="str" cm="1">
        <f t="array" ref="J20">IF(
 COUNTA(C20:G20)=0,
 "",
 SUM(
  _xlfn.XLOOKUP(
   TRIM(
    _xlfn.TEXTSPLIT(
     SUBSTITUTE(C20&amp;","&amp;D20&amp;","&amp;E20&amp;","&amp;F20&amp;","&amp;G20,CHAR(10),""),
     ","
    )
   ),
   Food_Master[Code],
   Food_Master[Calories],
   0
  )
 )
)</f>
        <v/>
      </c>
      <c r="K20" s="24"/>
      <c r="L20" s="1" t="str">
        <f t="shared" si="3"/>
        <v>Week3</v>
      </c>
      <c r="N20"/>
    </row>
    <row r="21" spans="1:16" x14ac:dyDescent="0.25">
      <c r="A21" s="62">
        <f t="shared" si="4"/>
        <v>46131</v>
      </c>
      <c r="B21" s="24">
        <f t="shared" si="1"/>
        <v>7</v>
      </c>
      <c r="C21" s="24"/>
      <c r="D21" s="24"/>
      <c r="E21" s="24"/>
      <c r="F21" s="24"/>
      <c r="G21" s="24"/>
      <c r="H21" s="24" t="str">
        <f t="shared" si="2"/>
        <v/>
      </c>
      <c r="I21" s="24"/>
      <c r="J21" s="24" t="str" cm="1">
        <f t="array" ref="J21">IF(
 COUNTA(C21:G21)=0,
 "",
 SUM(
  _xlfn.XLOOKUP(
   TRIM(
    _xlfn.TEXTSPLIT(
     SUBSTITUTE(C21&amp;","&amp;D21&amp;","&amp;E21&amp;","&amp;F21&amp;","&amp;G21,CHAR(10),""),
     ","
    )
   ),
   Food_Master[Code],
   Food_Master[Calories],
   0
  )
 )
)</f>
        <v/>
      </c>
      <c r="K21" s="24"/>
      <c r="L21" s="1" t="str">
        <f t="shared" si="3"/>
        <v>Week3</v>
      </c>
      <c r="N21"/>
    </row>
    <row r="22" spans="1:16" x14ac:dyDescent="0.25">
      <c r="A22" s="62">
        <f t="shared" si="4"/>
        <v>46132</v>
      </c>
      <c r="B22" s="24">
        <f t="shared" si="1"/>
        <v>1</v>
      </c>
      <c r="C22" s="24"/>
      <c r="D22" s="24"/>
      <c r="E22" s="24"/>
      <c r="F22" s="24"/>
      <c r="G22" s="24"/>
      <c r="H22" s="24" t="str">
        <f t="shared" si="2"/>
        <v/>
      </c>
      <c r="I22" s="24"/>
      <c r="J22" s="24" t="str" cm="1">
        <f t="array" ref="J22">IF(
 COUNTA(C22:G22)=0,
 "",
 SUM(
  _xlfn.XLOOKUP(
   TRIM(
    _xlfn.TEXTSPLIT(
     SUBSTITUTE(C22&amp;","&amp;D22&amp;","&amp;E22&amp;","&amp;F22&amp;","&amp;G22,CHAR(10),""),
     ","
    )
   ),
   Food_Master[Code],
   Food_Master[Calories],
   0
  )
 )
)</f>
        <v/>
      </c>
      <c r="K22" s="24"/>
      <c r="L22" s="1" t="str">
        <f t="shared" si="3"/>
        <v>Week3</v>
      </c>
      <c r="N22"/>
    </row>
    <row r="23" spans="1:16" x14ac:dyDescent="0.25">
      <c r="A23" s="62">
        <f t="shared" si="4"/>
        <v>46133</v>
      </c>
      <c r="B23" s="24">
        <f t="shared" si="1"/>
        <v>2</v>
      </c>
      <c r="C23" s="24"/>
      <c r="D23" s="24"/>
      <c r="E23" s="24"/>
      <c r="F23" s="24"/>
      <c r="G23" s="24"/>
      <c r="H23" s="24" t="str">
        <f t="shared" si="2"/>
        <v/>
      </c>
      <c r="I23" s="24"/>
      <c r="J23" s="24" t="str" cm="1">
        <f t="array" ref="J23">IF(
 COUNTA(C23:G23)=0,
 "",
 SUM(
  _xlfn.XLOOKUP(
   TRIM(
    _xlfn.TEXTSPLIT(
     SUBSTITUTE(C23&amp;","&amp;D23&amp;","&amp;E23&amp;","&amp;F23&amp;","&amp;G23,CHAR(10),""),
     ","
    )
   ),
   Food_Master[Code],
   Food_Master[Calories],
   0
  )
 )
)</f>
        <v/>
      </c>
      <c r="K23" s="63"/>
      <c r="L23" s="1" t="str">
        <f t="shared" si="3"/>
        <v>Week3</v>
      </c>
      <c r="N23"/>
    </row>
    <row r="24" spans="1:16" x14ac:dyDescent="0.25">
      <c r="A24" s="62">
        <f t="shared" si="4"/>
        <v>46134</v>
      </c>
      <c r="B24" s="24">
        <f t="shared" si="1"/>
        <v>3</v>
      </c>
      <c r="C24" s="24"/>
      <c r="D24" s="24"/>
      <c r="E24" s="24"/>
      <c r="F24" s="24"/>
      <c r="G24" s="24"/>
      <c r="H24" s="24" t="str">
        <f t="shared" si="2"/>
        <v/>
      </c>
      <c r="I24" s="24"/>
      <c r="J24" s="24" t="str" cm="1">
        <f t="array" ref="J24">IF(
 COUNTA(C24:G24)=0,
 "",
 SUM(
  _xlfn.XLOOKUP(
   TRIM(
    _xlfn.TEXTSPLIT(
     SUBSTITUTE(C24&amp;","&amp;D24&amp;","&amp;E24&amp;","&amp;F24&amp;","&amp;G24,CHAR(10),""),
     ","
    )
   ),
   Food_Master[Code],
   Food_Master[Calories],
   0
  )
 )
)</f>
        <v/>
      </c>
      <c r="K24" s="24"/>
      <c r="L24" s="1" t="str">
        <f t="shared" si="3"/>
        <v>Week4</v>
      </c>
      <c r="N24"/>
    </row>
    <row r="25" spans="1:16" x14ac:dyDescent="0.25">
      <c r="A25" s="62">
        <f t="shared" si="4"/>
        <v>46135</v>
      </c>
      <c r="B25" s="24">
        <f t="shared" si="1"/>
        <v>4</v>
      </c>
      <c r="C25" s="24"/>
      <c r="D25" s="24"/>
      <c r="E25" s="24"/>
      <c r="F25" s="24"/>
      <c r="G25" s="24"/>
      <c r="H25" s="24" t="str">
        <f t="shared" si="2"/>
        <v/>
      </c>
      <c r="I25" s="24"/>
      <c r="J25" s="24" t="str" cm="1">
        <f t="array" ref="J25">IF(
 COUNTA(C25:G25)=0,
 "",
 SUM(
  _xlfn.XLOOKUP(
   TRIM(
    _xlfn.TEXTSPLIT(
     SUBSTITUTE(C25&amp;","&amp;D25&amp;","&amp;E25&amp;","&amp;F25&amp;","&amp;G25,CHAR(10),""),
     ","
    )
   ),
   Food_Master[Code],
   Food_Master[Calories],
   0
  )
 )
)</f>
        <v/>
      </c>
      <c r="K25" s="24"/>
      <c r="L25" s="1" t="str">
        <f t="shared" si="3"/>
        <v>Week4</v>
      </c>
      <c r="N25"/>
    </row>
    <row r="26" spans="1:16" x14ac:dyDescent="0.25">
      <c r="A26" s="62">
        <f t="shared" si="4"/>
        <v>46136</v>
      </c>
      <c r="B26" s="24">
        <f t="shared" si="1"/>
        <v>5</v>
      </c>
      <c r="C26" s="24"/>
      <c r="D26" s="24"/>
      <c r="E26" s="24"/>
      <c r="F26" s="24"/>
      <c r="G26" s="24"/>
      <c r="H26" s="24" t="str">
        <f t="shared" si="2"/>
        <v/>
      </c>
      <c r="I26" s="24"/>
      <c r="J26" s="24" t="str" cm="1">
        <f t="array" ref="J26">IF(
 COUNTA(C26:G26)=0,
 "",
 SUM(
  _xlfn.XLOOKUP(
   TRIM(
    _xlfn.TEXTSPLIT(
     SUBSTITUTE(C26&amp;","&amp;D26&amp;","&amp;E26&amp;","&amp;F26&amp;","&amp;G26,CHAR(10),""),
     ","
    )
   ),
   Food_Master[Code],
   Food_Master[Calories],
   0
  )
 )
)</f>
        <v/>
      </c>
      <c r="K26" s="24"/>
      <c r="L26" s="1" t="str">
        <f t="shared" si="3"/>
        <v>Week4</v>
      </c>
      <c r="N26" s="1"/>
      <c r="O26" s="1"/>
    </row>
    <row r="27" spans="1:16" x14ac:dyDescent="0.25">
      <c r="A27" s="62">
        <f t="shared" si="4"/>
        <v>46137</v>
      </c>
      <c r="B27" s="24">
        <f t="shared" si="1"/>
        <v>6</v>
      </c>
      <c r="C27" s="24"/>
      <c r="D27" s="24"/>
      <c r="E27" s="24"/>
      <c r="F27" s="24"/>
      <c r="G27" s="24"/>
      <c r="H27" s="24" t="str">
        <f t="shared" si="2"/>
        <v/>
      </c>
      <c r="I27" s="24"/>
      <c r="J27" s="24" t="str" cm="1">
        <f t="array" ref="J27">IF(
 COUNTA(C27:G27)=0,
 "",
 SUM(
  _xlfn.XLOOKUP(
   TRIM(
    _xlfn.TEXTSPLIT(
     SUBSTITUTE(C27&amp;","&amp;D27&amp;","&amp;E27&amp;","&amp;F27&amp;","&amp;G27,CHAR(10),""),
     ","
    )
   ),
   Food_Master[Code],
   Food_Master[Calories],
   0
  )
 )
)</f>
        <v/>
      </c>
      <c r="K27" s="24"/>
      <c r="L27" s="1" t="str">
        <f t="shared" si="3"/>
        <v>Week4</v>
      </c>
      <c r="O27" s="1"/>
      <c r="P27" s="1"/>
    </row>
    <row r="28" spans="1:16" x14ac:dyDescent="0.25">
      <c r="A28" s="62">
        <f t="shared" si="4"/>
        <v>46138</v>
      </c>
      <c r="B28" s="24">
        <f t="shared" si="1"/>
        <v>7</v>
      </c>
      <c r="C28" s="24"/>
      <c r="D28" s="24"/>
      <c r="E28" s="24"/>
      <c r="F28" s="24"/>
      <c r="G28" s="24"/>
      <c r="H28" s="24" t="str">
        <f t="shared" si="2"/>
        <v/>
      </c>
      <c r="I28" s="24"/>
      <c r="J28" s="24" t="str" cm="1">
        <f t="array" ref="J28">IF(
 COUNTA(C28:G28)=0,
 "",
 SUM(
  _xlfn.XLOOKUP(
   TRIM(
    _xlfn.TEXTSPLIT(
     SUBSTITUTE(C28&amp;","&amp;D28&amp;","&amp;E28&amp;","&amp;F28&amp;","&amp;G28,CHAR(10),""),
     ","
    )
   ),
   Food_Master[Code],
   Food_Master[Calories],
   0
  )
 )
)</f>
        <v/>
      </c>
      <c r="K28" s="24"/>
      <c r="L28" s="1" t="str">
        <f t="shared" si="3"/>
        <v>Week4</v>
      </c>
      <c r="O28" s="1"/>
      <c r="P28" s="1"/>
    </row>
    <row r="29" spans="1:16" x14ac:dyDescent="0.25">
      <c r="A29" s="62">
        <f t="shared" si="4"/>
        <v>46139</v>
      </c>
      <c r="B29" s="24">
        <f t="shared" si="1"/>
        <v>1</v>
      </c>
      <c r="C29" s="24"/>
      <c r="D29" s="24"/>
      <c r="E29" s="24"/>
      <c r="F29" s="24"/>
      <c r="G29" s="24"/>
      <c r="H29" s="24" t="str">
        <f t="shared" si="2"/>
        <v/>
      </c>
      <c r="I29" s="24"/>
      <c r="J29" s="24" t="str" cm="1">
        <f t="array" ref="J29">IF(
 COUNTA(C29:G29)=0,
 "",
 SUM(
  _xlfn.XLOOKUP(
   TRIM(
    _xlfn.TEXTSPLIT(
     SUBSTITUTE(C29&amp;","&amp;D29&amp;","&amp;E29&amp;","&amp;F29&amp;","&amp;G29,CHAR(10),""),
     ","
    )
   ),
   Food_Master[Code],
   Food_Master[Calories],
   0
  )
 )
)</f>
        <v/>
      </c>
      <c r="K29" s="24"/>
      <c r="L29" s="1" t="str">
        <f t="shared" si="3"/>
        <v>Week4</v>
      </c>
      <c r="O29" s="1"/>
      <c r="P29" s="1"/>
    </row>
    <row r="30" spans="1:16" x14ac:dyDescent="0.25">
      <c r="A30" s="62">
        <f t="shared" si="4"/>
        <v>46140</v>
      </c>
      <c r="B30" s="24">
        <f t="shared" si="1"/>
        <v>2</v>
      </c>
      <c r="C30" s="24"/>
      <c r="D30" s="24"/>
      <c r="E30" s="24"/>
      <c r="F30" s="24"/>
      <c r="G30" s="24"/>
      <c r="H30" s="24" t="str">
        <f t="shared" si="2"/>
        <v/>
      </c>
      <c r="I30" s="24"/>
      <c r="J30" s="24" t="str" cm="1">
        <f t="array" ref="J30">IF(
 COUNTA(C30:G30)=0,
 "",
 SUM(
  _xlfn.XLOOKUP(
   TRIM(
    _xlfn.TEXTSPLIT(
     SUBSTITUTE(C30&amp;","&amp;D30&amp;","&amp;E30&amp;","&amp;F30&amp;","&amp;G30,CHAR(10),""),
     ","
    )
   ),
   Food_Master[Code],
   Food_Master[Calories],
   0
  )
 )
)</f>
        <v/>
      </c>
      <c r="K30" s="24"/>
      <c r="L30" s="1" t="str">
        <f t="shared" si="3"/>
        <v>Week4</v>
      </c>
    </row>
    <row r="31" spans="1:16" x14ac:dyDescent="0.25">
      <c r="A31" s="62">
        <f t="shared" si="4"/>
        <v>46141</v>
      </c>
      <c r="B31" s="24">
        <f t="shared" si="1"/>
        <v>3</v>
      </c>
      <c r="C31" s="24"/>
      <c r="D31" s="24"/>
      <c r="E31" s="24"/>
      <c r="F31" s="24"/>
      <c r="G31" s="24"/>
      <c r="H31" s="24" t="str">
        <f t="shared" si="2"/>
        <v/>
      </c>
      <c r="I31" s="24"/>
      <c r="J31" s="24" t="str" cm="1">
        <f t="array" ref="J31">IF(
 COUNTA(C31:G31)=0,
 "",
 SUM(
  _xlfn.XLOOKUP(
   TRIM(
    _xlfn.TEXTSPLIT(
     SUBSTITUTE(C31&amp;","&amp;D31&amp;","&amp;E31&amp;","&amp;F31&amp;","&amp;G31,CHAR(10),""),
     ","
    )
   ),
   Food_Master[Code],
   Food_Master[Calories],
   0
  )
 )
)</f>
        <v/>
      </c>
      <c r="K31" s="24"/>
      <c r="L31" s="1" t="str">
        <f t="shared" si="3"/>
        <v>Week5</v>
      </c>
    </row>
    <row r="32" spans="1:16" x14ac:dyDescent="0.25">
      <c r="A32" s="62">
        <f t="shared" si="4"/>
        <v>46142</v>
      </c>
      <c r="B32" s="24">
        <f t="shared" si="1"/>
        <v>4</v>
      </c>
      <c r="C32" s="24"/>
      <c r="D32" s="24"/>
      <c r="E32" s="24"/>
      <c r="F32" s="24"/>
      <c r="G32" s="24"/>
      <c r="H32" s="24" t="str">
        <f t="shared" si="2"/>
        <v/>
      </c>
      <c r="I32" s="24"/>
      <c r="J32" s="24" t="str" cm="1">
        <f t="array" ref="J32">IF(
 COUNTA(C32:G32)=0,
 "",
 SUM(
  _xlfn.XLOOKUP(
   TRIM(
    _xlfn.TEXTSPLIT(
     SUBSTITUTE(C32&amp;","&amp;D32&amp;","&amp;E32&amp;","&amp;F32&amp;","&amp;G32,CHAR(10),""),
     ","
    )
   ),
   Food_Master[Code],
   Food_Master[Calories],
   0
  )
 )
)</f>
        <v/>
      </c>
      <c r="K32" s="24"/>
      <c r="L32" s="1" t="str">
        <f t="shared" si="3"/>
        <v>Week5</v>
      </c>
    </row>
    <row r="33" spans="1:12" x14ac:dyDescent="0.25">
      <c r="A33" s="62" t="str">
        <f t="shared" si="4"/>
        <v/>
      </c>
      <c r="B33" s="24" t="str">
        <f>IFERROR(WEEKDAY(A33,2), "")</f>
        <v/>
      </c>
      <c r="C33" s="24"/>
      <c r="D33" s="24"/>
      <c r="E33" s="24"/>
      <c r="F33" s="24"/>
      <c r="G33" s="24"/>
      <c r="H33" s="24" t="str">
        <f t="shared" si="2"/>
        <v/>
      </c>
      <c r="I33" s="24"/>
      <c r="J33" s="24" t="str" cm="1">
        <f t="array" ref="J33">IF(
 COUNTA(C33:G33)=0,
 "",
 SUM(
  _xlfn.XLOOKUP(
   TRIM(
    _xlfn.TEXTSPLIT(
     SUBSTITUTE(C33&amp;","&amp;D33&amp;","&amp;E33&amp;","&amp;F33&amp;","&amp;G33,CHAR(10),""),
     ","
    )
   ),
   Food_Master[Code],
   Food_Master[Calories],
   0
  )
 )
)</f>
        <v/>
      </c>
      <c r="K33" s="24"/>
      <c r="L33" s="1" t="str">
        <f>IFERROR("Week"&amp;INT((DAY(A33)-1)/7)+1, "")</f>
        <v/>
      </c>
    </row>
  </sheetData>
  <dataConsolidate/>
  <conditionalFormatting sqref="C3:G33">
    <cfRule type="expression" dxfId="0" priority="2">
      <formula>C3=""</formula>
    </cfRule>
  </conditionalFormatting>
  <conditionalFormatting sqref="J3:J33">
    <cfRule type="colorScale" priority="4">
      <colorScale>
        <cfvo type="num" val="1500"/>
        <cfvo type="num" val="1600"/>
        <cfvo type="num" val="1700"/>
        <color theme="9"/>
        <color rgb="FFFFEB84"/>
        <color rgb="FFFF4343"/>
      </colorScale>
    </cfRule>
  </conditionalFormatting>
  <conditionalFormatting sqref="P3:P6">
    <cfRule type="colorScale" priority="3">
      <colorScale>
        <cfvo type="num" val="1500"/>
        <cfvo type="num" val="1600"/>
        <cfvo type="num" val="1700"/>
        <color theme="9"/>
        <color rgb="FFFFEB84"/>
        <color rgb="FFFF0000"/>
      </colorScale>
    </cfRule>
  </conditionalFormatting>
  <conditionalFormatting sqref="V3:V6">
    <cfRule type="colorScale" priority="1">
      <colorScale>
        <cfvo type="num" val="0"/>
        <cfvo type="percentile" val="50"/>
        <cfvo type="num" val="1"/>
        <color rgb="FFFF4343"/>
        <color rgb="FFFFEB84"/>
        <color rgb="FF63BE7B"/>
      </colorScale>
    </cfRule>
  </conditionalFormatting>
  <dataValidations count="3">
    <dataValidation type="custom" allowBlank="1" showInputMessage="1" showErrorMessage="1" sqref="P3:P6" xr:uid="{42D8415D-B51F-425C-B105-E2098649541F}">
      <formula1>AVERAGEIF(J3:J9,"&gt;0")</formula1>
    </dataValidation>
    <dataValidation type="custom" allowBlank="1" showInputMessage="1" showErrorMessage="1" sqref="K16 K23" xr:uid="{BA838AA8-132F-4353-B1B8-BC1A90CF97E3}">
      <formula1>AVERAGEIF(J10:J16,"&gt;0")</formula1>
    </dataValidation>
    <dataValidation type="list" allowBlank="1" showInputMessage="1" showErrorMessage="1" sqref="H2 I2:I33" xr:uid="{9FD8D2A8-889C-4E0C-8415-AC8A181341F1}">
      <formula1>"Yes,No"</formula1>
    </dataValidation>
  </dataValidation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BA0DD-D660-4BD2-80B0-9934EC854210}">
  <dimension ref="A1:R30"/>
  <sheetViews>
    <sheetView zoomScaleNormal="100" workbookViewId="0">
      <selection activeCell="B2" sqref="B2"/>
    </sheetView>
  </sheetViews>
  <sheetFormatPr defaultRowHeight="15" x14ac:dyDescent="0.25"/>
  <cols>
    <col min="1" max="1" width="16.140625" bestFit="1" customWidth="1"/>
    <col min="2" max="2" width="20.85546875" bestFit="1" customWidth="1"/>
    <col min="3" max="3" width="17.28515625" bestFit="1" customWidth="1"/>
    <col min="11" max="11" width="16.85546875" customWidth="1"/>
    <col min="12" max="12" width="18" style="2" customWidth="1"/>
    <col min="13" max="13" width="14.5703125" style="1" customWidth="1"/>
    <col min="16" max="16" width="15.5703125" customWidth="1"/>
    <col min="17" max="17" width="16.42578125" customWidth="1"/>
    <col min="18" max="18" width="13.7109375" customWidth="1"/>
    <col min="20" max="20" width="14.7109375" customWidth="1"/>
    <col min="21" max="21" width="18" customWidth="1"/>
    <col min="22" max="22" width="14.85546875" customWidth="1"/>
  </cols>
  <sheetData>
    <row r="1" spans="1:18" ht="20.25" customHeight="1" x14ac:dyDescent="0.25">
      <c r="A1" s="15" t="s">
        <v>41</v>
      </c>
      <c r="B1" s="15" t="s">
        <v>7</v>
      </c>
      <c r="C1" s="15" t="s">
        <v>8</v>
      </c>
      <c r="K1" s="97" t="s">
        <v>14</v>
      </c>
      <c r="L1" s="97"/>
      <c r="M1" s="98"/>
      <c r="N1" s="9"/>
    </row>
    <row r="2" spans="1:18" ht="20.25" x14ac:dyDescent="0.25">
      <c r="A2" s="23" t="s">
        <v>44</v>
      </c>
      <c r="B2" s="15"/>
      <c r="C2" s="20">
        <v>170</v>
      </c>
      <c r="K2" s="31" t="s">
        <v>1</v>
      </c>
      <c r="L2" s="32" t="s">
        <v>7</v>
      </c>
      <c r="M2" s="33" t="s">
        <v>8</v>
      </c>
      <c r="N2" s="9"/>
    </row>
    <row r="3" spans="1:18" ht="15" customHeight="1" x14ac:dyDescent="0.25">
      <c r="A3" s="18" t="s">
        <v>46</v>
      </c>
      <c r="B3" s="19" t="s">
        <v>9</v>
      </c>
      <c r="C3" s="20">
        <v>160</v>
      </c>
      <c r="K3" s="27" t="s">
        <v>10</v>
      </c>
      <c r="L3" s="16" t="s">
        <v>9</v>
      </c>
      <c r="M3" s="17">
        <v>330</v>
      </c>
    </row>
    <row r="4" spans="1:18" ht="15" customHeight="1" x14ac:dyDescent="0.25">
      <c r="A4" s="19" t="s">
        <v>21</v>
      </c>
      <c r="B4" s="19">
        <v>150</v>
      </c>
      <c r="C4" s="20">
        <v>60</v>
      </c>
      <c r="K4" s="28" t="s">
        <v>12</v>
      </c>
      <c r="L4" s="16" t="s">
        <v>11</v>
      </c>
      <c r="M4" s="17">
        <v>280</v>
      </c>
    </row>
    <row r="5" spans="1:18" ht="15" customHeight="1" x14ac:dyDescent="0.25">
      <c r="A5" s="19" t="s">
        <v>12</v>
      </c>
      <c r="B5" s="19" t="s">
        <v>11</v>
      </c>
      <c r="C5" s="20">
        <v>280</v>
      </c>
      <c r="K5" s="29" t="s">
        <v>38</v>
      </c>
      <c r="L5" s="16" t="s">
        <v>43</v>
      </c>
      <c r="M5" s="17">
        <v>210</v>
      </c>
    </row>
    <row r="6" spans="1:18" ht="15" customHeight="1" x14ac:dyDescent="0.25">
      <c r="A6" s="21" t="s">
        <v>38</v>
      </c>
      <c r="B6" s="19" t="s">
        <v>43</v>
      </c>
      <c r="C6" s="20">
        <v>210</v>
      </c>
      <c r="K6" s="30" t="s">
        <v>37</v>
      </c>
      <c r="L6" s="16" t="s">
        <v>42</v>
      </c>
      <c r="M6" s="17">
        <v>220</v>
      </c>
    </row>
    <row r="7" spans="1:18" ht="15" customHeight="1" x14ac:dyDescent="0.25">
      <c r="A7" s="22" t="s">
        <v>37</v>
      </c>
      <c r="B7" s="19" t="s">
        <v>42</v>
      </c>
      <c r="C7" s="20">
        <v>220</v>
      </c>
      <c r="K7" s="34" t="s">
        <v>39</v>
      </c>
      <c r="L7" s="35" t="s">
        <v>40</v>
      </c>
      <c r="M7" s="36">
        <v>120</v>
      </c>
    </row>
    <row r="8" spans="1:18" ht="15" customHeight="1" x14ac:dyDescent="0.25">
      <c r="A8" s="19" t="s">
        <v>39</v>
      </c>
      <c r="B8" s="19" t="s">
        <v>40</v>
      </c>
      <c r="C8" s="20">
        <v>120</v>
      </c>
      <c r="L8"/>
      <c r="M8" s="2"/>
      <c r="N8" s="1"/>
    </row>
    <row r="9" spans="1:18" x14ac:dyDescent="0.25">
      <c r="A9" s="18" t="s">
        <v>23</v>
      </c>
      <c r="B9" s="19" t="s">
        <v>11</v>
      </c>
      <c r="C9" s="20">
        <v>100</v>
      </c>
      <c r="L9"/>
      <c r="M9"/>
    </row>
    <row r="10" spans="1:18" x14ac:dyDescent="0.25">
      <c r="A10" s="19" t="s">
        <v>24</v>
      </c>
      <c r="B10" s="19" t="s">
        <v>45</v>
      </c>
      <c r="C10" s="20">
        <v>60</v>
      </c>
    </row>
    <row r="11" spans="1:18" ht="20.25" customHeight="1" x14ac:dyDescent="0.25">
      <c r="A11" s="19" t="s">
        <v>25</v>
      </c>
      <c r="B11" s="19" t="s">
        <v>30</v>
      </c>
      <c r="C11" s="20">
        <v>90</v>
      </c>
      <c r="K11" s="91" t="s">
        <v>22</v>
      </c>
      <c r="L11" s="92"/>
      <c r="M11" s="93"/>
    </row>
    <row r="12" spans="1:18" ht="20.25" x14ac:dyDescent="0.25">
      <c r="A12" s="19" t="s">
        <v>26</v>
      </c>
      <c r="B12" s="19" t="s">
        <v>27</v>
      </c>
      <c r="C12" s="20">
        <v>30</v>
      </c>
      <c r="K12" s="40" t="s">
        <v>3</v>
      </c>
      <c r="L12" s="41" t="s">
        <v>7</v>
      </c>
      <c r="M12" s="42" t="s">
        <v>8</v>
      </c>
    </row>
    <row r="13" spans="1:18" x14ac:dyDescent="0.25">
      <c r="A13" s="18" t="s">
        <v>16</v>
      </c>
      <c r="B13" s="19" t="s">
        <v>17</v>
      </c>
      <c r="C13" s="20">
        <v>200</v>
      </c>
      <c r="K13" s="37" t="s">
        <v>23</v>
      </c>
      <c r="L13" s="4">
        <v>150</v>
      </c>
      <c r="M13" s="39">
        <v>100</v>
      </c>
    </row>
    <row r="14" spans="1:18" x14ac:dyDescent="0.25">
      <c r="A14" s="19" t="s">
        <v>18</v>
      </c>
      <c r="B14" s="19" t="s">
        <v>17</v>
      </c>
      <c r="C14" s="20">
        <v>200</v>
      </c>
      <c r="K14" s="38" t="s">
        <v>24</v>
      </c>
      <c r="L14" s="4">
        <v>10</v>
      </c>
      <c r="M14" s="39">
        <v>60</v>
      </c>
    </row>
    <row r="15" spans="1:18" x14ac:dyDescent="0.25">
      <c r="A15" s="19" t="s">
        <v>19</v>
      </c>
      <c r="B15" s="19" t="s">
        <v>13</v>
      </c>
      <c r="C15" s="20">
        <v>260</v>
      </c>
      <c r="K15" s="38" t="s">
        <v>25</v>
      </c>
      <c r="L15" s="4">
        <v>25</v>
      </c>
      <c r="M15" s="39">
        <v>90</v>
      </c>
      <c r="P15" s="7"/>
      <c r="Q15" s="8"/>
      <c r="R15" s="10"/>
    </row>
    <row r="16" spans="1:18" x14ac:dyDescent="0.25">
      <c r="A16" s="19" t="s">
        <v>20</v>
      </c>
      <c r="B16" s="19" t="s">
        <v>13</v>
      </c>
      <c r="C16" s="20">
        <v>130</v>
      </c>
      <c r="K16" s="43" t="s">
        <v>26</v>
      </c>
      <c r="L16" s="44" t="s">
        <v>27</v>
      </c>
      <c r="M16" s="45">
        <v>30</v>
      </c>
      <c r="Q16" s="2"/>
      <c r="R16" s="11"/>
    </row>
    <row r="17" spans="1:18" ht="20.25" x14ac:dyDescent="0.3">
      <c r="A17" s="19" t="s">
        <v>21</v>
      </c>
      <c r="B17" s="19">
        <v>150</v>
      </c>
      <c r="C17" s="20">
        <v>60</v>
      </c>
      <c r="P17" s="86" t="s">
        <v>31</v>
      </c>
      <c r="Q17" s="87"/>
      <c r="R17" s="11"/>
    </row>
    <row r="18" spans="1:18" ht="20.25" customHeight="1" x14ac:dyDescent="0.25">
      <c r="A18" s="18" t="s">
        <v>29</v>
      </c>
      <c r="B18" s="19" t="s">
        <v>30</v>
      </c>
      <c r="C18" s="20">
        <v>90</v>
      </c>
      <c r="K18" s="94" t="s">
        <v>15</v>
      </c>
      <c r="L18" s="95"/>
      <c r="M18" s="96"/>
      <c r="P18" s="12" t="s">
        <v>8</v>
      </c>
      <c r="Q18" s="13" t="s">
        <v>34</v>
      </c>
      <c r="R18" s="11"/>
    </row>
    <row r="19" spans="1:18" ht="20.25" x14ac:dyDescent="0.25">
      <c r="A19" s="22" t="s">
        <v>23</v>
      </c>
      <c r="B19" s="22">
        <v>150</v>
      </c>
      <c r="C19" s="21">
        <v>90</v>
      </c>
      <c r="K19" s="49" t="s">
        <v>2</v>
      </c>
      <c r="L19" s="50" t="s">
        <v>7</v>
      </c>
      <c r="M19" s="51" t="s">
        <v>8</v>
      </c>
      <c r="P19" s="12" t="s">
        <v>32</v>
      </c>
      <c r="Q19" s="13" t="s">
        <v>33</v>
      </c>
    </row>
    <row r="20" spans="1:18" x14ac:dyDescent="0.25">
      <c r="K20" s="46" t="s">
        <v>16</v>
      </c>
      <c r="L20" s="3" t="s">
        <v>17</v>
      </c>
      <c r="M20" s="48">
        <v>200</v>
      </c>
      <c r="P20" s="12" t="s">
        <v>35</v>
      </c>
      <c r="Q20" s="13" t="s">
        <v>36</v>
      </c>
    </row>
    <row r="21" spans="1:18" ht="15" customHeight="1" x14ac:dyDescent="0.25">
      <c r="K21" s="47" t="s">
        <v>18</v>
      </c>
      <c r="L21" s="3" t="s">
        <v>17</v>
      </c>
      <c r="M21" s="48">
        <v>200</v>
      </c>
    </row>
    <row r="22" spans="1:18" ht="15" customHeight="1" x14ac:dyDescent="0.25">
      <c r="K22" s="47" t="s">
        <v>19</v>
      </c>
      <c r="L22" s="3" t="s">
        <v>13</v>
      </c>
      <c r="M22" s="48">
        <v>260</v>
      </c>
    </row>
    <row r="23" spans="1:18" ht="15" customHeight="1" x14ac:dyDescent="0.25">
      <c r="K23" s="47" t="s">
        <v>20</v>
      </c>
      <c r="L23" s="3" t="s">
        <v>13</v>
      </c>
      <c r="M23" s="48">
        <v>130</v>
      </c>
    </row>
    <row r="24" spans="1:18" x14ac:dyDescent="0.25">
      <c r="K24" s="52" t="s">
        <v>21</v>
      </c>
      <c r="L24" s="53">
        <v>150</v>
      </c>
      <c r="M24" s="54">
        <v>60</v>
      </c>
    </row>
    <row r="27" spans="1:18" ht="20.25" customHeight="1" x14ac:dyDescent="0.25">
      <c r="K27" s="88" t="s">
        <v>28</v>
      </c>
      <c r="L27" s="89"/>
      <c r="M27" s="90"/>
    </row>
    <row r="28" spans="1:18" ht="20.25" x14ac:dyDescent="0.25">
      <c r="K28" s="59" t="s">
        <v>4</v>
      </c>
      <c r="L28" s="60" t="s">
        <v>7</v>
      </c>
      <c r="M28" s="61" t="s">
        <v>8</v>
      </c>
    </row>
    <row r="29" spans="1:18" x14ac:dyDescent="0.25">
      <c r="K29" s="55" t="s">
        <v>29</v>
      </c>
      <c r="L29" s="5" t="s">
        <v>30</v>
      </c>
      <c r="M29" s="57">
        <v>90</v>
      </c>
    </row>
    <row r="30" spans="1:18" x14ac:dyDescent="0.25">
      <c r="K30" s="56" t="s">
        <v>23</v>
      </c>
      <c r="L30" s="6">
        <v>150</v>
      </c>
      <c r="M30" s="58">
        <v>90</v>
      </c>
    </row>
  </sheetData>
  <mergeCells count="5">
    <mergeCell ref="P17:Q17"/>
    <mergeCell ref="K27:M27"/>
    <mergeCell ref="K11:M11"/>
    <mergeCell ref="K18:M18"/>
    <mergeCell ref="K1:M1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Props1.xml><?xml version="1.0" encoding="utf-8"?>
<ds:datastoreItem xmlns:ds="http://schemas.openxmlformats.org/officeDocument/2006/customXml" ds:itemID="{DD6A4BAF-F1B2-4945-8257-77D601143F16}">
  <ds:schemaRefs/>
</ds:datastoreItem>
</file>

<file path=customXml/itemProps2.xml><?xml version="1.0" encoding="utf-8"?>
<ds:datastoreItem xmlns:ds="http://schemas.openxmlformats.org/officeDocument/2006/customXml" ds:itemID="{2F292A83-CC0E-4383-B5D9-5FB4044AE35A}">
  <ds:schemaRefs/>
</ds:datastoreItem>
</file>

<file path=customXml/itemProps3.xml><?xml version="1.0" encoding="utf-8"?>
<ds:datastoreItem xmlns:ds="http://schemas.openxmlformats.org/officeDocument/2006/customXml" ds:itemID="{86F945EC-611B-47A9-A1C0-CCA8A6BE711D}">
  <ds:schemaRefs/>
</ds:datastoreItem>
</file>

<file path=customXml/itemProps4.xml><?xml version="1.0" encoding="utf-8"?>
<ds:datastoreItem xmlns:ds="http://schemas.openxmlformats.org/officeDocument/2006/customXml" ds:itemID="{66C08230-D911-4388-A264-5A76665F6ABD}">
  <ds:schemaRefs/>
</ds:datastoreItem>
</file>

<file path=customXml/itemProps5.xml><?xml version="1.0" encoding="utf-8"?>
<ds:datastoreItem xmlns:ds="http://schemas.openxmlformats.org/officeDocument/2006/customXml" ds:itemID="{B7C1E6D4-B702-4794-9105-4DBDD5462168}">
  <ds:schemaRefs/>
</ds:datastoreItem>
</file>

<file path=customXml/itemProps6.xml><?xml version="1.0" encoding="utf-8"?>
<ds:datastoreItem xmlns:ds="http://schemas.openxmlformats.org/officeDocument/2006/customXml" ds:itemID="{30A9F187-B9CB-423C-AA17-6D27385EF13B}">
  <ds:schemaRefs/>
</ds:datastoreItem>
</file>

<file path=customXml/itemProps7.xml><?xml version="1.0" encoding="utf-8"?>
<ds:datastoreItem xmlns:ds="http://schemas.openxmlformats.org/officeDocument/2006/customXml" ds:itemID="{24CDF6DD-041F-4F85-AC42-028D3602F18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Food_Master</vt:lpstr>
      <vt:lpstr>Jan-2026</vt:lpstr>
      <vt:lpstr>Feb-2026</vt:lpstr>
      <vt:lpstr>Mar-2026</vt:lpstr>
      <vt:lpstr>Apr-2026</vt:lpstr>
      <vt:lpstr>Food_Reference</vt:lpstr>
      <vt:lpstr>Breakfast</vt:lpstr>
      <vt:lpstr>Calories</vt:lpstr>
      <vt:lpstr>Dosa_1</vt:lpstr>
      <vt:lpstr>Idly_2</vt:lpstr>
      <vt:lpstr>Oats___2eggs</vt:lpstr>
      <vt:lpstr>Portion__g</vt:lpstr>
      <vt:lpstr>Upma__cooked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Sushmitha Chowdary</dc:creator>
  <cp:lastModifiedBy>Sushmitha Chowdary</cp:lastModifiedBy>
  <dcterms:created xsi:type="dcterms:W3CDTF">2026-01-04T15:17:50Z</dcterms:created>
  <dcterms:modified xsi:type="dcterms:W3CDTF">2026-01-20T16:17:24Z</dcterms:modified>
</cp:coreProperties>
</file>